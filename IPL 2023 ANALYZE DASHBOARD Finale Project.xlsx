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FACE8D0-D28F-4A46-9278-FFCE916DBF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ights" sheetId="5" r:id="rId1"/>
    <sheet name="Pivot" sheetId="4" r:id="rId2"/>
    <sheet name="IPL23dataset" sheetId="2" r:id="rId3"/>
    <sheet name="Home Table" sheetId="3" r:id="rId4"/>
    <sheet name="Charts" sheetId="1" r:id="rId5"/>
  </sheets>
  <definedNames>
    <definedName name="_xlnm._FilterDatabase" localSheetId="2" hidden="1">IPL23dataset!$A:$T</definedName>
    <definedName name="ExternalData_1" localSheetId="3" hidden="1">'Home Table'!$A$1:$B$13</definedName>
  </definedNames>
  <calcPr calcId="191029"/>
  <pivotCaches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2" l="1" a="1"/>
  <c r="F48" i="2" s="1"/>
  <c r="R48" i="2" s="1"/>
  <c r="H46" i="4"/>
  <c r="H45" i="4"/>
  <c r="H44" i="4"/>
  <c r="H43" i="4"/>
  <c r="H42" i="4"/>
  <c r="H41" i="4"/>
  <c r="H40" i="4"/>
  <c r="H39" i="4"/>
  <c r="H38" i="4"/>
  <c r="H37" i="4"/>
  <c r="W75" i="2"/>
  <c r="V75" i="2"/>
  <c r="R75" i="2"/>
  <c r="Q75" i="2"/>
  <c r="F75" i="2"/>
  <c r="W74" i="2"/>
  <c r="V74" i="2"/>
  <c r="R74" i="2"/>
  <c r="Q74" i="2"/>
  <c r="F74" i="2"/>
  <c r="W73" i="2"/>
  <c r="V73" i="2"/>
  <c r="R73" i="2"/>
  <c r="Q73" i="2"/>
  <c r="F73" i="2"/>
  <c r="W72" i="2"/>
  <c r="V72" i="2"/>
  <c r="R72" i="2"/>
  <c r="Q72" i="2"/>
  <c r="F72" i="2"/>
  <c r="W71" i="2"/>
  <c r="V71" i="2"/>
  <c r="U71" i="2"/>
  <c r="T71" i="2"/>
  <c r="R71" i="2"/>
  <c r="Q71" i="2"/>
  <c r="F71" i="2"/>
  <c r="W70" i="2"/>
  <c r="V70" i="2"/>
  <c r="T70" i="2"/>
  <c r="R70" i="2"/>
  <c r="Q70" i="2"/>
  <c r="F70" i="2"/>
  <c r="W69" i="2"/>
  <c r="V69" i="2"/>
  <c r="U69" i="2"/>
  <c r="T69" i="2"/>
  <c r="R69" i="2"/>
  <c r="Q69" i="2"/>
  <c r="F69" i="2"/>
  <c r="W68" i="2"/>
  <c r="V68" i="2"/>
  <c r="U68" i="2"/>
  <c r="T68" i="2"/>
  <c r="R68" i="2"/>
  <c r="Q68" i="2"/>
  <c r="F68" i="2"/>
  <c r="W67" i="2"/>
  <c r="V67" i="2"/>
  <c r="U67" i="2"/>
  <c r="T67" i="2"/>
  <c r="R67" i="2"/>
  <c r="Q67" i="2"/>
  <c r="F67" i="2"/>
  <c r="W66" i="2"/>
  <c r="V66" i="2"/>
  <c r="U66" i="2"/>
  <c r="T66" i="2"/>
  <c r="R66" i="2"/>
  <c r="Q66" i="2"/>
  <c r="F66" i="2"/>
  <c r="W65" i="2"/>
  <c r="V65" i="2"/>
  <c r="U65" i="2"/>
  <c r="T65" i="2"/>
  <c r="R65" i="2"/>
  <c r="Q65" i="2"/>
  <c r="F65" i="2"/>
  <c r="W64" i="2"/>
  <c r="V64" i="2"/>
  <c r="U64" i="2"/>
  <c r="T64" i="2"/>
  <c r="R64" i="2"/>
  <c r="Q64" i="2"/>
  <c r="F64" i="2"/>
  <c r="W63" i="2"/>
  <c r="V63" i="2"/>
  <c r="U63" i="2"/>
  <c r="T63" i="2"/>
  <c r="R63" i="2"/>
  <c r="Q63" i="2"/>
  <c r="F63" i="2"/>
  <c r="W62" i="2"/>
  <c r="V62" i="2"/>
  <c r="U62" i="2"/>
  <c r="T62" i="2"/>
  <c r="R62" i="2"/>
  <c r="Q62" i="2"/>
  <c r="F62" i="2"/>
  <c r="W61" i="2"/>
  <c r="V61" i="2"/>
  <c r="U61" i="2"/>
  <c r="T61" i="2"/>
  <c r="R61" i="2"/>
  <c r="Q61" i="2"/>
  <c r="F61" i="2"/>
  <c r="W60" i="2"/>
  <c r="V60" i="2"/>
  <c r="U60" i="2"/>
  <c r="T60" i="2"/>
  <c r="R60" i="2"/>
  <c r="Q60" i="2"/>
  <c r="F60" i="2"/>
  <c r="W59" i="2"/>
  <c r="V59" i="2"/>
  <c r="U59" i="2"/>
  <c r="T59" i="2"/>
  <c r="R59" i="2"/>
  <c r="Q59" i="2"/>
  <c r="F59" i="2"/>
  <c r="W58" i="2"/>
  <c r="V58" i="2"/>
  <c r="U58" i="2"/>
  <c r="T58" i="2"/>
  <c r="R58" i="2"/>
  <c r="Q58" i="2"/>
  <c r="F58" i="2"/>
  <c r="W57" i="2"/>
  <c r="V57" i="2"/>
  <c r="U57" i="2"/>
  <c r="T57" i="2"/>
  <c r="R57" i="2"/>
  <c r="Q57" i="2"/>
  <c r="F57" i="2"/>
  <c r="W56" i="2"/>
  <c r="V56" i="2"/>
  <c r="U56" i="2"/>
  <c r="T56" i="2"/>
  <c r="R56" i="2"/>
  <c r="Q56" i="2"/>
  <c r="F56" i="2"/>
  <c r="W55" i="2"/>
  <c r="V55" i="2"/>
  <c r="U55" i="2"/>
  <c r="T55" i="2"/>
  <c r="R55" i="2"/>
  <c r="Q55" i="2"/>
  <c r="F55" i="2"/>
  <c r="W54" i="2"/>
  <c r="V54" i="2"/>
  <c r="U54" i="2"/>
  <c r="T54" i="2"/>
  <c r="R54" i="2"/>
  <c r="Q54" i="2"/>
  <c r="F54" i="2"/>
  <c r="W53" i="2"/>
  <c r="V53" i="2"/>
  <c r="U53" i="2"/>
  <c r="T53" i="2"/>
  <c r="R53" i="2"/>
  <c r="Q53" i="2"/>
  <c r="F53" i="2"/>
  <c r="W52" i="2"/>
  <c r="V52" i="2"/>
  <c r="U52" i="2"/>
  <c r="T52" i="2"/>
  <c r="R52" i="2"/>
  <c r="Q52" i="2"/>
  <c r="F52" i="2"/>
  <c r="W51" i="2"/>
  <c r="V51" i="2"/>
  <c r="U51" i="2"/>
  <c r="T51" i="2"/>
  <c r="R51" i="2"/>
  <c r="Q51" i="2"/>
  <c r="F51" i="2"/>
  <c r="W50" i="2"/>
  <c r="V50" i="2"/>
  <c r="U50" i="2"/>
  <c r="T50" i="2"/>
  <c r="R50" i="2"/>
  <c r="Q50" i="2"/>
  <c r="F50" i="2"/>
  <c r="W49" i="2"/>
  <c r="V49" i="2"/>
  <c r="U49" i="2"/>
  <c r="T49" i="2"/>
  <c r="R49" i="2"/>
  <c r="Q49" i="2"/>
  <c r="F49" i="2"/>
  <c r="W48" i="2"/>
  <c r="V48" i="2"/>
  <c r="U48" i="2"/>
  <c r="T48" i="2"/>
  <c r="Q48" i="2"/>
  <c r="W47" i="2"/>
  <c r="V47" i="2"/>
  <c r="U47" i="2"/>
  <c r="T47" i="2"/>
  <c r="Q47" i="2"/>
  <c r="R47" i="2"/>
  <c r="V46" i="2"/>
  <c r="T46" i="2"/>
  <c r="Q46" i="2"/>
  <c r="R46" i="2"/>
  <c r="W45" i="2"/>
  <c r="V45" i="2"/>
  <c r="U45" i="2"/>
  <c r="T45" i="2"/>
  <c r="R45" i="2"/>
  <c r="Q45" i="2"/>
  <c r="F45" i="2"/>
  <c r="W44" i="2"/>
  <c r="V44" i="2"/>
  <c r="U44" i="2"/>
  <c r="T44" i="2"/>
  <c r="R44" i="2"/>
  <c r="Q44" i="2"/>
  <c r="F44" i="2"/>
  <c r="W43" i="2"/>
  <c r="V43" i="2"/>
  <c r="U43" i="2"/>
  <c r="T43" i="2"/>
  <c r="R43" i="2"/>
  <c r="Q43" i="2"/>
  <c r="F43" i="2"/>
  <c r="W42" i="2"/>
  <c r="V42" i="2"/>
  <c r="U42" i="2"/>
  <c r="T42" i="2"/>
  <c r="R42" i="2"/>
  <c r="Q42" i="2"/>
  <c r="F42" i="2"/>
  <c r="W41" i="2"/>
  <c r="V41" i="2"/>
  <c r="U41" i="2"/>
  <c r="T41" i="2"/>
  <c r="R41" i="2"/>
  <c r="Q41" i="2"/>
  <c r="F41" i="2"/>
  <c r="W40" i="2"/>
  <c r="V40" i="2"/>
  <c r="U40" i="2"/>
  <c r="T40" i="2"/>
  <c r="R40" i="2"/>
  <c r="Q40" i="2"/>
  <c r="F40" i="2"/>
  <c r="W39" i="2"/>
  <c r="V39" i="2"/>
  <c r="U39" i="2"/>
  <c r="T39" i="2"/>
  <c r="R39" i="2"/>
  <c r="Q39" i="2"/>
  <c r="F39" i="2"/>
  <c r="W38" i="2"/>
  <c r="V38" i="2"/>
  <c r="U38" i="2"/>
  <c r="T38" i="2"/>
  <c r="R38" i="2"/>
  <c r="Q38" i="2"/>
  <c r="F38" i="2"/>
  <c r="W37" i="2"/>
  <c r="V37" i="2"/>
  <c r="U37" i="2"/>
  <c r="T37" i="2"/>
  <c r="R37" i="2"/>
  <c r="Q37" i="2"/>
  <c r="F37" i="2"/>
  <c r="W36" i="2"/>
  <c r="V36" i="2"/>
  <c r="U36" i="2"/>
  <c r="T36" i="2"/>
  <c r="R36" i="2"/>
  <c r="Q36" i="2"/>
  <c r="F36" i="2"/>
  <c r="W35" i="2"/>
  <c r="V35" i="2"/>
  <c r="U35" i="2"/>
  <c r="T35" i="2"/>
  <c r="R35" i="2"/>
  <c r="Q35" i="2"/>
  <c r="F35" i="2"/>
  <c r="W34" i="2"/>
  <c r="V34" i="2"/>
  <c r="U34" i="2"/>
  <c r="T34" i="2"/>
  <c r="R34" i="2"/>
  <c r="Q34" i="2"/>
  <c r="F34" i="2"/>
  <c r="W33" i="2"/>
  <c r="V33" i="2"/>
  <c r="U33" i="2"/>
  <c r="T33" i="2"/>
  <c r="Q33" i="2"/>
  <c r="F33" i="2"/>
  <c r="W32" i="2"/>
  <c r="V32" i="2"/>
  <c r="U32" i="2"/>
  <c r="T32" i="2"/>
  <c r="R32" i="2"/>
  <c r="Q32" i="2"/>
  <c r="F32" i="2"/>
  <c r="W31" i="2"/>
  <c r="V31" i="2"/>
  <c r="U31" i="2"/>
  <c r="T31" i="2"/>
  <c r="R31" i="2"/>
  <c r="Q31" i="2"/>
  <c r="F31" i="2"/>
  <c r="W30" i="2"/>
  <c r="V30" i="2"/>
  <c r="U30" i="2"/>
  <c r="T30" i="2"/>
  <c r="R30" i="2"/>
  <c r="Q30" i="2"/>
  <c r="F30" i="2"/>
  <c r="W29" i="2"/>
  <c r="V29" i="2"/>
  <c r="U29" i="2"/>
  <c r="T29" i="2"/>
  <c r="R29" i="2"/>
  <c r="Q29" i="2"/>
  <c r="F29" i="2"/>
  <c r="W28" i="2"/>
  <c r="V28" i="2"/>
  <c r="U28" i="2"/>
  <c r="T28" i="2"/>
  <c r="R28" i="2"/>
  <c r="Q28" i="2"/>
  <c r="F28" i="2"/>
  <c r="W27" i="2"/>
  <c r="V27" i="2"/>
  <c r="U27" i="2"/>
  <c r="T27" i="2"/>
  <c r="R27" i="2"/>
  <c r="Q27" i="2"/>
  <c r="F27" i="2"/>
  <c r="W26" i="2"/>
  <c r="V26" i="2"/>
  <c r="U26" i="2"/>
  <c r="T26" i="2"/>
  <c r="R26" i="2"/>
  <c r="Q26" i="2"/>
  <c r="F26" i="2"/>
  <c r="W25" i="2"/>
  <c r="V25" i="2"/>
  <c r="U25" i="2"/>
  <c r="T25" i="2"/>
  <c r="R25" i="2"/>
  <c r="Q25" i="2"/>
  <c r="F25" i="2"/>
  <c r="W24" i="2"/>
  <c r="V24" i="2"/>
  <c r="U24" i="2"/>
  <c r="T24" i="2"/>
  <c r="R24" i="2"/>
  <c r="Q24" i="2"/>
  <c r="F24" i="2"/>
  <c r="W23" i="2"/>
  <c r="V23" i="2"/>
  <c r="U23" i="2"/>
  <c r="T23" i="2"/>
  <c r="R23" i="2"/>
  <c r="Q23" i="2"/>
  <c r="F23" i="2"/>
  <c r="W22" i="2"/>
  <c r="V22" i="2"/>
  <c r="U22" i="2"/>
  <c r="T22" i="2"/>
  <c r="R22" i="2"/>
  <c r="Q22" i="2"/>
  <c r="F22" i="2"/>
  <c r="W21" i="2"/>
  <c r="V21" i="2"/>
  <c r="U21" i="2"/>
  <c r="T21" i="2"/>
  <c r="R21" i="2"/>
  <c r="Q21" i="2"/>
  <c r="F21" i="2"/>
  <c r="W20" i="2"/>
  <c r="V20" i="2"/>
  <c r="U20" i="2"/>
  <c r="T20" i="2"/>
  <c r="R20" i="2"/>
  <c r="Q20" i="2"/>
  <c r="F20" i="2"/>
  <c r="W19" i="2"/>
  <c r="V19" i="2"/>
  <c r="U19" i="2"/>
  <c r="T19" i="2"/>
  <c r="R19" i="2"/>
  <c r="Q19" i="2"/>
  <c r="F19" i="2"/>
  <c r="W18" i="2"/>
  <c r="V18" i="2"/>
  <c r="U18" i="2"/>
  <c r="T18" i="2"/>
  <c r="R18" i="2"/>
  <c r="Q18" i="2"/>
  <c r="F18" i="2"/>
  <c r="W17" i="2"/>
  <c r="V17" i="2"/>
  <c r="U17" i="2"/>
  <c r="T17" i="2"/>
  <c r="R17" i="2"/>
  <c r="Q17" i="2"/>
  <c r="F17" i="2"/>
  <c r="W16" i="2"/>
  <c r="V16" i="2"/>
  <c r="U16" i="2"/>
  <c r="T16" i="2"/>
  <c r="R16" i="2"/>
  <c r="Q16" i="2"/>
  <c r="F16" i="2"/>
  <c r="W15" i="2"/>
  <c r="V15" i="2"/>
  <c r="U15" i="2"/>
  <c r="T15" i="2"/>
  <c r="R15" i="2"/>
  <c r="Q15" i="2"/>
  <c r="F15" i="2"/>
  <c r="W14" i="2"/>
  <c r="V14" i="2"/>
  <c r="U14" i="2"/>
  <c r="T14" i="2"/>
  <c r="R14" i="2"/>
  <c r="Q14" i="2"/>
  <c r="F14" i="2"/>
  <c r="W13" i="2"/>
  <c r="V13" i="2"/>
  <c r="U13" i="2"/>
  <c r="T13" i="2"/>
  <c r="R13" i="2"/>
  <c r="Q13" i="2"/>
  <c r="F13" i="2"/>
  <c r="W12" i="2"/>
  <c r="V12" i="2"/>
  <c r="U12" i="2"/>
  <c r="T12" i="2"/>
  <c r="R12" i="2"/>
  <c r="Q12" i="2"/>
  <c r="F12" i="2"/>
  <c r="W11" i="2"/>
  <c r="V11" i="2"/>
  <c r="U11" i="2"/>
  <c r="T11" i="2"/>
  <c r="R11" i="2"/>
  <c r="Q11" i="2"/>
  <c r="F11" i="2"/>
  <c r="W10" i="2"/>
  <c r="V10" i="2"/>
  <c r="U10" i="2"/>
  <c r="T10" i="2"/>
  <c r="R10" i="2"/>
  <c r="Q10" i="2"/>
  <c r="F10" i="2"/>
  <c r="W9" i="2"/>
  <c r="V9" i="2"/>
  <c r="U9" i="2"/>
  <c r="T9" i="2"/>
  <c r="R9" i="2"/>
  <c r="Q9" i="2"/>
  <c r="F9" i="2"/>
  <c r="W8" i="2"/>
  <c r="V8" i="2"/>
  <c r="U8" i="2"/>
  <c r="T8" i="2"/>
  <c r="R8" i="2"/>
  <c r="Q8" i="2"/>
  <c r="F8" i="2"/>
  <c r="W7" i="2"/>
  <c r="V7" i="2"/>
  <c r="U7" i="2"/>
  <c r="T7" i="2"/>
  <c r="R7" i="2"/>
  <c r="Q7" i="2"/>
  <c r="F7" i="2"/>
  <c r="W6" i="2"/>
  <c r="V6" i="2"/>
  <c r="U6" i="2"/>
  <c r="T6" i="2"/>
  <c r="R6" i="2"/>
  <c r="Q6" i="2"/>
  <c r="F6" i="2"/>
  <c r="W5" i="2"/>
  <c r="V5" i="2"/>
  <c r="U5" i="2"/>
  <c r="T5" i="2"/>
  <c r="R5" i="2"/>
  <c r="Q5" i="2"/>
  <c r="F5" i="2"/>
  <c r="W4" i="2"/>
  <c r="V4" i="2"/>
  <c r="U4" i="2"/>
  <c r="T4" i="2"/>
  <c r="R4" i="2"/>
  <c r="Q4" i="2"/>
  <c r="F4" i="2"/>
  <c r="W3" i="2"/>
  <c r="V3" i="2"/>
  <c r="U3" i="2"/>
  <c r="T3" i="2"/>
  <c r="R3" i="2"/>
  <c r="Q3" i="2"/>
  <c r="F3" i="2"/>
  <c r="W2" i="2"/>
  <c r="V2" i="2"/>
  <c r="U2" i="2"/>
  <c r="T2" i="2"/>
  <c r="R2" i="2"/>
  <c r="Q2" i="2"/>
  <c r="F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IPL23dataset" description="Connection to the 'IPL23dataset' query in the workbook." type="5" refreshedVersion="2" background="1" saveData="1">
    <dbPr connection="Provider=Microsoft.Mashup.OleDb.1;Data Source=$Workbook$;Location=IPL23dataset;Extended Properties=&quot;&quot;" command="SELECT * FROM [IPL23dataset]"/>
  </connection>
  <connection id="2" xr16:uid="{00000000-0015-0000-FFFF-FFFF01000000}" name="Query - Table 4" description="Connection to the 'Table 4' query in the workbook." type="5" refreshedVersion="2" background="1" saveData="1">
    <dbPr connection="Provider=Microsoft.Mashup.OleDb.1;Data Source=$Workbook$;Location=&quot;Table 4&quot;;Extended Properties=&quot;&quot;" command="SELECT * FROM [Table 4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<sst xmlns="http://schemas.openxmlformats.org/spreadsheetml/2006/main" count="1115" uniqueCount="264">
  <si>
    <t>Row Lbels</t>
  </si>
  <si>
    <t>Sum of Home Win</t>
  </si>
  <si>
    <t>Sum of Away Win</t>
  </si>
  <si>
    <t>Chennai Super Kings</t>
  </si>
  <si>
    <t>Sum of Toss Impact</t>
  </si>
  <si>
    <t>Sum of Toss Loose</t>
  </si>
  <si>
    <t>Delhi Capitals</t>
  </si>
  <si>
    <t>Batting First Win</t>
  </si>
  <si>
    <t>Bowling First Win</t>
  </si>
  <si>
    <t>Gujarat Titans</t>
  </si>
  <si>
    <t>Kolkata Knight Riders</t>
  </si>
  <si>
    <t>Lucknow Super Giants</t>
  </si>
  <si>
    <t>Mumbai Indians</t>
  </si>
  <si>
    <t>Punjab Kings</t>
  </si>
  <si>
    <t>Rajasthan Royals</t>
  </si>
  <si>
    <t>Royal Challengers Bangalore</t>
  </si>
  <si>
    <t>Sunrisers Hyderabad</t>
  </si>
  <si>
    <t>Grand Total</t>
  </si>
  <si>
    <t>Count of Winning Team</t>
  </si>
  <si>
    <t>Team</t>
  </si>
  <si>
    <t>Wins</t>
  </si>
  <si>
    <t>Matches</t>
  </si>
  <si>
    <t>Win%</t>
  </si>
  <si>
    <t>Match Number</t>
  </si>
  <si>
    <t>Venue</t>
  </si>
  <si>
    <t>Team1</t>
  </si>
  <si>
    <t>Team2</t>
  </si>
  <si>
    <t>Toss winning team</t>
  </si>
  <si>
    <t>Toss Loosing Team</t>
  </si>
  <si>
    <t>Toss Decision</t>
  </si>
  <si>
    <t>First batting team</t>
  </si>
  <si>
    <t>Second batting team</t>
  </si>
  <si>
    <t>First Innings Score</t>
  </si>
  <si>
    <t>Overs in First innings</t>
  </si>
  <si>
    <t>Second Innings Score</t>
  </si>
  <si>
    <t>Overs in Second innings</t>
  </si>
  <si>
    <t>Winning Team</t>
  </si>
  <si>
    <t>Won By</t>
  </si>
  <si>
    <t>Status</t>
  </si>
  <si>
    <t>Toss Impact</t>
  </si>
  <si>
    <t>Toss Loose</t>
  </si>
  <si>
    <t>Home Team Column</t>
  </si>
  <si>
    <t>Home Win</t>
  </si>
  <si>
    <t>Away Win</t>
  </si>
  <si>
    <t>Batting First</t>
  </si>
  <si>
    <t>Bowling First</t>
  </si>
  <si>
    <t>Narendra Modi Stadium,  Ahmedabad</t>
  </si>
  <si>
    <t xml:space="preserve">Gujarat Titans </t>
  </si>
  <si>
    <t>bowl</t>
  </si>
  <si>
    <t xml:space="preserve">178/7 </t>
  </si>
  <si>
    <t xml:space="preserve">182/5 </t>
  </si>
  <si>
    <t>5 wickets</t>
  </si>
  <si>
    <t>League Matches</t>
  </si>
  <si>
    <t>Punjab Cricket Association IS Bindra Stadium,  Mohali,  Chandigarh</t>
  </si>
  <si>
    <t xml:space="preserve">Kolkata Knight Riders </t>
  </si>
  <si>
    <t xml:space="preserve">191/5 </t>
  </si>
  <si>
    <t xml:space="preserve">146/7 </t>
  </si>
  <si>
    <t>7 runs (DLS Method).</t>
  </si>
  <si>
    <t>Bharat Ratna Shri Atal Bihari Vajpayee Ekana Cricket Stadium,  Lucknow</t>
  </si>
  <si>
    <t xml:space="preserve">Delhi Capitals </t>
  </si>
  <si>
    <t xml:space="preserve">193/6 </t>
  </si>
  <si>
    <t xml:space="preserve">143/9 </t>
  </si>
  <si>
    <t>50 runs.</t>
  </si>
  <si>
    <t>Rajiv Gandhi International Stadium,  Uppal,  Hyderabad</t>
  </si>
  <si>
    <t xml:space="preserve">Sunrisers Hyderabad </t>
  </si>
  <si>
    <t xml:space="preserve">203/5 </t>
  </si>
  <si>
    <t xml:space="preserve">131/8 </t>
  </si>
  <si>
    <t>72 runs.</t>
  </si>
  <si>
    <t>M.Chinnaswamy Stadium,  Bengaluru</t>
  </si>
  <si>
    <t xml:space="preserve">Royal Challengers Bangalore </t>
  </si>
  <si>
    <t xml:space="preserve">171/7 </t>
  </si>
  <si>
    <t xml:space="preserve">172/2 </t>
  </si>
  <si>
    <t>8 wickets</t>
  </si>
  <si>
    <t>MA Chidambaram Stadium,  Chennai</t>
  </si>
  <si>
    <t xml:space="preserve">Lucknow Super Giants </t>
  </si>
  <si>
    <t xml:space="preserve">217/7 </t>
  </si>
  <si>
    <t xml:space="preserve">205/7 </t>
  </si>
  <si>
    <t>12 runs.</t>
  </si>
  <si>
    <t>Arun Jaitley Stadium,  Delhi</t>
  </si>
  <si>
    <t xml:space="preserve">162/8 </t>
  </si>
  <si>
    <t xml:space="preserve">163/4 </t>
  </si>
  <si>
    <t>6 wickets</t>
  </si>
  <si>
    <t>Barsapara Cricket Stadium,  Guwahati</t>
  </si>
  <si>
    <t xml:space="preserve">Rajasthan Royals </t>
  </si>
  <si>
    <t xml:space="preserve">197/4 </t>
  </si>
  <si>
    <t xml:space="preserve">192/7 </t>
  </si>
  <si>
    <t>5 runs.</t>
  </si>
  <si>
    <t>Eden Gardens,  Kolkata</t>
  </si>
  <si>
    <t xml:space="preserve">204/7 </t>
  </si>
  <si>
    <t xml:space="preserve">123/10 </t>
  </si>
  <si>
    <t>81 runs.</t>
  </si>
  <si>
    <t>bat</t>
  </si>
  <si>
    <t xml:space="preserve">121/8 </t>
  </si>
  <si>
    <t xml:space="preserve">127/5 </t>
  </si>
  <si>
    <t xml:space="preserve">199/4 </t>
  </si>
  <si>
    <t xml:space="preserve">142/9 </t>
  </si>
  <si>
    <t>57 runs.</t>
  </si>
  <si>
    <t>Wankhede Stadium,  Mumbai</t>
  </si>
  <si>
    <t xml:space="preserve">Chennai Super Kings </t>
  </si>
  <si>
    <t xml:space="preserve">157/8 </t>
  </si>
  <si>
    <t xml:space="preserve">159/3 </t>
  </si>
  <si>
    <t>7 wickets</t>
  </si>
  <si>
    <t xml:space="preserve">204/4 </t>
  </si>
  <si>
    <t xml:space="preserve">207/7 </t>
  </si>
  <si>
    <t>3 wickets</t>
  </si>
  <si>
    <t xml:space="preserve">145/2 </t>
  </si>
  <si>
    <t xml:space="preserve">212/2 </t>
  </si>
  <si>
    <t xml:space="preserve">213/9 </t>
  </si>
  <si>
    <t>1 wickets</t>
  </si>
  <si>
    <t xml:space="preserve">Mumbai Indians </t>
  </si>
  <si>
    <t xml:space="preserve">172/10 </t>
  </si>
  <si>
    <t xml:space="preserve">173/4 </t>
  </si>
  <si>
    <t xml:space="preserve">175/8 </t>
  </si>
  <si>
    <t xml:space="preserve">172/6 </t>
  </si>
  <si>
    <t>3 runs.</t>
  </si>
  <si>
    <t xml:space="preserve">153/8 </t>
  </si>
  <si>
    <t xml:space="preserve">154/4 </t>
  </si>
  <si>
    <t xml:space="preserve">228/4 </t>
  </si>
  <si>
    <t>23 runs.</t>
  </si>
  <si>
    <t xml:space="preserve">174/6 </t>
  </si>
  <si>
    <t xml:space="preserve">151/9 </t>
  </si>
  <si>
    <t xml:space="preserve">Punjab Kings </t>
  </si>
  <si>
    <t xml:space="preserve">159/8 </t>
  </si>
  <si>
    <t xml:space="preserve">161/8 </t>
  </si>
  <si>
    <t>2 wickets</t>
  </si>
  <si>
    <t xml:space="preserve">185/6 </t>
  </si>
  <si>
    <t xml:space="preserve">186/5 </t>
  </si>
  <si>
    <t xml:space="preserve">177/7 </t>
  </si>
  <si>
    <t xml:space="preserve">179/7 </t>
  </si>
  <si>
    <t xml:space="preserve">226/6 </t>
  </si>
  <si>
    <t xml:space="preserve">218/8 </t>
  </si>
  <si>
    <t>8 runs.</t>
  </si>
  <si>
    <t xml:space="preserve">192/5 </t>
  </si>
  <si>
    <t xml:space="preserve">178/10 </t>
  </si>
  <si>
    <t>14 runs.</t>
  </si>
  <si>
    <t>Sawai Mansingh Stadium,  Jaipur</t>
  </si>
  <si>
    <t xml:space="preserve">154/7 </t>
  </si>
  <si>
    <t xml:space="preserve">144/6 </t>
  </si>
  <si>
    <t>10 runs.</t>
  </si>
  <si>
    <t xml:space="preserve">174/4 </t>
  </si>
  <si>
    <t xml:space="preserve">150/10 </t>
  </si>
  <si>
    <t>24 runs.</t>
  </si>
  <si>
    <t xml:space="preserve">127/10 </t>
  </si>
  <si>
    <t xml:space="preserve">128/6 </t>
  </si>
  <si>
    <t>4 wickets</t>
  </si>
  <si>
    <t>Sunrises Hyderabad</t>
  </si>
  <si>
    <t xml:space="preserve">134/7 </t>
  </si>
  <si>
    <t xml:space="preserve">138/3 </t>
  </si>
  <si>
    <t xml:space="preserve">135/6 </t>
  </si>
  <si>
    <t xml:space="preserve">128/7 </t>
  </si>
  <si>
    <t>7 runs.</t>
  </si>
  <si>
    <t xml:space="preserve">214/8 </t>
  </si>
  <si>
    <t xml:space="preserve">201/6 </t>
  </si>
  <si>
    <t>13 runs.</t>
  </si>
  <si>
    <t>Royals Challengers Bangalore</t>
  </si>
  <si>
    <t xml:space="preserve">189/9 </t>
  </si>
  <si>
    <t xml:space="preserve">182/6 </t>
  </si>
  <si>
    <t xml:space="preserve">235/4 </t>
  </si>
  <si>
    <t xml:space="preserve">186/8 </t>
  </si>
  <si>
    <t>49 runs.</t>
  </si>
  <si>
    <t xml:space="preserve">144/9 </t>
  </si>
  <si>
    <t xml:space="preserve">137/6 </t>
  </si>
  <si>
    <t xml:space="preserve">207/6 </t>
  </si>
  <si>
    <t xml:space="preserve">152/9 </t>
  </si>
  <si>
    <t>55 runs.</t>
  </si>
  <si>
    <t xml:space="preserve">200/5 </t>
  </si>
  <si>
    <t xml:space="preserve">179/8 </t>
  </si>
  <si>
    <t>21 runs.</t>
  </si>
  <si>
    <t xml:space="preserve">202/5 </t>
  </si>
  <si>
    <t xml:space="preserve">170/6 </t>
  </si>
  <si>
    <t>32 runs.</t>
  </si>
  <si>
    <t xml:space="preserve">257/5 </t>
  </si>
  <si>
    <t xml:space="preserve">201/10 </t>
  </si>
  <si>
    <t>56 runs.</t>
  </si>
  <si>
    <t xml:space="preserve">180/3 </t>
  </si>
  <si>
    <t>Sunriders Hyderabad</t>
  </si>
  <si>
    <t xml:space="preserve">197/6 </t>
  </si>
  <si>
    <t xml:space="preserve">188/6 </t>
  </si>
  <si>
    <t>9 runs.</t>
  </si>
  <si>
    <t xml:space="preserve">200/4 </t>
  </si>
  <si>
    <t xml:space="preserve">212/7 </t>
  </si>
  <si>
    <t xml:space="preserve">214/4 </t>
  </si>
  <si>
    <t xml:space="preserve">126/9 </t>
  </si>
  <si>
    <t xml:space="preserve">108/10 </t>
  </si>
  <si>
    <t>18 runs.</t>
  </si>
  <si>
    <t xml:space="preserve">130/8 </t>
  </si>
  <si>
    <t xml:space="preserve">125/6 </t>
  </si>
  <si>
    <t xml:space="preserve">*125/7 </t>
  </si>
  <si>
    <t/>
  </si>
  <si>
    <t>Match Abandoned Due To Rain</t>
  </si>
  <si>
    <t xml:space="preserve">214/3 </t>
  </si>
  <si>
    <t xml:space="preserve">216/4 </t>
  </si>
  <si>
    <t xml:space="preserve">171/9 </t>
  </si>
  <si>
    <t xml:space="preserve">166/8 </t>
  </si>
  <si>
    <t xml:space="preserve">118/10 </t>
  </si>
  <si>
    <t xml:space="preserve">119/1 </t>
  </si>
  <si>
    <t>9 wickets</t>
  </si>
  <si>
    <t xml:space="preserve">139/8 </t>
  </si>
  <si>
    <t xml:space="preserve">140/4 </t>
  </si>
  <si>
    <t xml:space="preserve">181/4 </t>
  </si>
  <si>
    <t xml:space="preserve">187/3 </t>
  </si>
  <si>
    <t xml:space="preserve">227/2 </t>
  </si>
  <si>
    <t xml:space="preserve">214/2 </t>
  </si>
  <si>
    <t xml:space="preserve">217/6 </t>
  </si>
  <si>
    <t xml:space="preserve">199/6 </t>
  </si>
  <si>
    <t xml:space="preserve">167/8 </t>
  </si>
  <si>
    <t xml:space="preserve">140/8 </t>
  </si>
  <si>
    <t>27 runs.</t>
  </si>
  <si>
    <t xml:space="preserve">149/8 </t>
  </si>
  <si>
    <t xml:space="preserve">151/1 </t>
  </si>
  <si>
    <t xml:space="preserve">218/5 </t>
  </si>
  <si>
    <t xml:space="preserve">191/8 </t>
  </si>
  <si>
    <t xml:space="preserve">185/3 </t>
  </si>
  <si>
    <t xml:space="preserve">167/7 </t>
  </si>
  <si>
    <t xml:space="preserve">136/8 </t>
  </si>
  <si>
    <t>31 runs.</t>
  </si>
  <si>
    <t xml:space="preserve">171/5 </t>
  </si>
  <si>
    <t xml:space="preserve">59/10 </t>
  </si>
  <si>
    <t>112 runs.</t>
  </si>
  <si>
    <t xml:space="preserve">147/4 </t>
  </si>
  <si>
    <t xml:space="preserve">188/9 </t>
  </si>
  <si>
    <t xml:space="preserve">154/9 </t>
  </si>
  <si>
    <t>34 runs.</t>
  </si>
  <si>
    <t xml:space="preserve">177/3 </t>
  </si>
  <si>
    <t xml:space="preserve">172/5 </t>
  </si>
  <si>
    <t>Himachal Pradesh Cricket Association Stadium,Dharamsala</t>
  </si>
  <si>
    <t>213/2</t>
  </si>
  <si>
    <t>198/8</t>
  </si>
  <si>
    <t>15 runs</t>
  </si>
  <si>
    <t>186/5</t>
  </si>
  <si>
    <t>187/2</t>
  </si>
  <si>
    <t>187/5</t>
  </si>
  <si>
    <t>189/6</t>
  </si>
  <si>
    <t>223/3</t>
  </si>
  <si>
    <t>146/9</t>
  </si>
  <si>
    <t>77 runs</t>
  </si>
  <si>
    <t>176/8</t>
  </si>
  <si>
    <t>175/7</t>
  </si>
  <si>
    <t>1 runs</t>
  </si>
  <si>
    <t>200/5</t>
  </si>
  <si>
    <t>201/2</t>
  </si>
  <si>
    <t>MUmbai Indians</t>
  </si>
  <si>
    <t>8 Wickets</t>
  </si>
  <si>
    <t>197/5</t>
  </si>
  <si>
    <t>198/4</t>
  </si>
  <si>
    <t>6 Wickets</t>
  </si>
  <si>
    <t>172/7</t>
  </si>
  <si>
    <t>157/10</t>
  </si>
  <si>
    <t>Qualifyer 1</t>
  </si>
  <si>
    <t>Blank</t>
  </si>
  <si>
    <t>182/8</t>
  </si>
  <si>
    <t>101/10</t>
  </si>
  <si>
    <t>Eliminator</t>
  </si>
  <si>
    <t>233/3</t>
  </si>
  <si>
    <t>171/10</t>
  </si>
  <si>
    <t>62 runs</t>
  </si>
  <si>
    <t>Qualifyer 2</t>
  </si>
  <si>
    <t>214/4</t>
  </si>
  <si>
    <t>171/5</t>
  </si>
  <si>
    <t>5 wickets(DLS)</t>
  </si>
  <si>
    <t>Finale</t>
  </si>
  <si>
    <t>Stadium</t>
  </si>
  <si>
    <t>Narendra Modi Stadium , Ahmedabad</t>
  </si>
  <si>
    <t>lucknow Super Giants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</si>
</sst>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0" tint="-0.34998626667073579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5117038483843"/>
        <bgColor theme="9" tint="0.79995117038483843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theme="9" tint="0.39994506668294322"/>
      </left>
      <right/>
      <top style="thin">
        <color theme="9" tint="0.39994506668294322"/>
      </top>
      <bottom/>
      <diagonal/>
    </border>
    <border>
      <left/>
      <right/>
      <top style="thin">
        <color theme="9" tint="0.39994506668294322"/>
      </top>
      <bottom/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/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/>
      <top/>
      <bottom/>
      <diagonal/>
    </border>
    <border>
      <left/>
      <right style="thin">
        <color theme="9" tint="0.39994506668294322"/>
      </right>
      <top/>
      <bottom/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0" borderId="1" xfId="0" applyBorder="1"/>
    <xf numFmtId="0" fontId="0" fillId="0" borderId="2" xfId="0" applyBorder="1"/>
    <xf numFmtId="0" fontId="0" fillId="4" borderId="3" xfId="0" applyFill="1" applyBorder="1"/>
    <xf numFmtId="0" fontId="0" fillId="4" borderId="4" xfId="0" applyFill="1" applyBorder="1"/>
    <xf numFmtId="0" fontId="2" fillId="3" borderId="5" xfId="0" applyFont="1" applyFill="1" applyBorder="1"/>
    <xf numFmtId="0" fontId="2" fillId="3" borderId="0" xfId="0" applyFont="1" applyFill="1"/>
    <xf numFmtId="0" fontId="0" fillId="4" borderId="5" xfId="0" applyFill="1" applyBorder="1"/>
    <xf numFmtId="0" fontId="0" fillId="4" borderId="0" xfId="0" applyFill="1"/>
    <xf numFmtId="0" fontId="0" fillId="0" borderId="5" xfId="0" applyBorder="1"/>
    <xf numFmtId="0" fontId="0" fillId="4" borderId="6" xfId="0" applyFill="1" applyBorder="1"/>
    <xf numFmtId="0" fontId="0" fillId="0" borderId="7" xfId="0" applyBorder="1"/>
    <xf numFmtId="0" fontId="0" fillId="4" borderId="7" xfId="0" applyFill="1" applyBorder="1"/>
    <xf numFmtId="0" fontId="0" fillId="0" borderId="8" xfId="0" applyBorder="1"/>
    <xf numFmtId="0" fontId="0" fillId="4" borderId="8" xfId="0" applyFill="1" applyBorder="1"/>
    <xf numFmtId="0" fontId="0" fillId="0" borderId="0" xfId="0" applyAlignment="1">
      <alignment horizontal="left"/>
    </xf>
    <xf numFmtId="0" fontId="3" fillId="5" borderId="9" xfId="0" applyFont="1" applyFill="1" applyBorder="1"/>
    <xf numFmtId="10" fontId="0" fillId="0" borderId="0" xfId="0" applyNumberFormat="1"/>
    <xf numFmtId="9" fontId="0" fillId="0" borderId="0" xfId="1" applyFont="1"/>
    <xf numFmtId="0" fontId="2" fillId="6" borderId="10" xfId="0" applyFont="1" applyFill="1" applyBorder="1"/>
    <xf numFmtId="0" fontId="2" fillId="6" borderId="11" xfId="0" applyFont="1" applyFill="1" applyBorder="1"/>
    <xf numFmtId="0" fontId="0" fillId="5" borderId="10" xfId="0" applyFill="1" applyBorder="1" applyAlignment="1">
      <alignment horizontal="left"/>
    </xf>
    <xf numFmtId="9" fontId="0" fillId="5" borderId="11" xfId="1" applyFont="1" applyFill="1" applyBorder="1"/>
    <xf numFmtId="0" fontId="0" fillId="0" borderId="10" xfId="0" applyBorder="1" applyAlignment="1">
      <alignment horizontal="left"/>
    </xf>
    <xf numFmtId="9" fontId="0" fillId="0" borderId="11" xfId="1" applyFont="1" applyBorder="1"/>
    <xf numFmtId="0" fontId="3" fillId="0" borderId="0" xfId="0" applyFont="1"/>
    <xf numFmtId="0" fontId="0" fillId="0" borderId="0" xfId="0" pivotButton="1"/>
    <xf numFmtId="0" fontId="0" fillId="0" borderId="0" xfId="0" applyNumberFormat="1"/>
  </cellXfs>
  <cellStyles count="2">
    <cellStyle name="Normal" xfId="0" builtinId="0"/>
    <cellStyle name="Percent" xfId="1" builtinId="5"/>
  </cellStyles>
  <dxfs count="5">
    <dxf>
      <numFmt numFmtId="0" formatCode="General"/>
    </dxf>
    <dxf>
      <numFmt numFmtId="0" formatCode="General"/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</dxf>
    <dxf>
      <numFmt numFmtId="0" formatCode="General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868352"/>
        <c:axId val="106862592"/>
      </c:barChart>
      <c:catAx>
        <c:axId val="10686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62592"/>
        <c:crosses val="autoZero"/>
        <c:auto val="1"/>
        <c:lblAlgn val="ctr"/>
        <c:lblOffset val="100"/>
        <c:noMultiLvlLbl val="0"/>
      </c:catAx>
      <c:valAx>
        <c:axId val="106862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6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67641544806903"/>
          <c:y val="0.15469943419702301"/>
          <c:w val="0.27627596550431199"/>
          <c:h val="0.25165659943191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4628db-ca4d-4170-8792-adb68ac67cc3}"/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2023 ANALYZE DASHBOARD Finale Project.xlsx]Pivot!PivotTable5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Team</a:t>
            </a:r>
            <a:r>
              <a:rPr lang="en-IN" baseline="0"/>
              <a:t> Win Share(%0- IPL 2023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1E-418A-9FA9-BC54CB8A47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1E-418A-9FA9-BC54CB8A47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1E-418A-9FA9-BC54CB8A47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1E-418A-9FA9-BC54CB8A47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1E-418A-9FA9-BC54CB8A47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F1E-418A-9FA9-BC54CB8A47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F1E-418A-9FA9-BC54CB8A47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F1E-418A-9FA9-BC54CB8A47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F1E-418A-9FA9-BC54CB8A47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F1E-418A-9FA9-BC54CB8A47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Pivot!$B$20:$B$30</c:f>
              <c:strCache>
                <c:ptCount val="10"/>
                <c:pt idx="0">
                  <c:v>Gujarat Titans</c:v>
                </c:pt>
                <c:pt idx="1">
                  <c:v>Chennai Super Kings</c:v>
                </c:pt>
                <c:pt idx="2">
                  <c:v>Mumbai Indians</c:v>
                </c:pt>
                <c:pt idx="3">
                  <c:v>Lucknow Super Giants</c:v>
                </c:pt>
                <c:pt idx="4">
                  <c:v>Royal Challengers Bangalore</c:v>
                </c:pt>
                <c:pt idx="5">
                  <c:v>Rajasthan Royals</c:v>
                </c:pt>
                <c:pt idx="6">
                  <c:v>Kolkata Knight Riders</c:v>
                </c:pt>
                <c:pt idx="7">
                  <c:v>Punjab Kings</c:v>
                </c:pt>
                <c:pt idx="8">
                  <c:v>Delhi Capitals</c:v>
                </c:pt>
                <c:pt idx="9">
                  <c:v>Sunrisers Hyderabad</c:v>
                </c:pt>
              </c:strCache>
            </c:strRef>
          </c:cat>
          <c:val>
            <c:numRef>
              <c:f>Pivot!$C$20:$C$30</c:f>
              <c:numCache>
                <c:formatCode>0.00%</c:formatCode>
                <c:ptCount val="10"/>
                <c:pt idx="0">
                  <c:v>0.15068493150684931</c:v>
                </c:pt>
                <c:pt idx="1">
                  <c:v>0.13698630136986301</c:v>
                </c:pt>
                <c:pt idx="2">
                  <c:v>0.12328767123287671</c:v>
                </c:pt>
                <c:pt idx="3">
                  <c:v>0.1095890410958904</c:v>
                </c:pt>
                <c:pt idx="4">
                  <c:v>9.5890410958904104E-2</c:v>
                </c:pt>
                <c:pt idx="5">
                  <c:v>9.5890410958904104E-2</c:v>
                </c:pt>
                <c:pt idx="6">
                  <c:v>8.2191780821917804E-2</c:v>
                </c:pt>
                <c:pt idx="7">
                  <c:v>8.2191780821917804E-2</c:v>
                </c:pt>
                <c:pt idx="8">
                  <c:v>6.8493150684931503E-2</c:v>
                </c:pt>
                <c:pt idx="9">
                  <c:v>5.4794520547945202E-2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F1E-418A-9FA9-BC54CB8A47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f4d944-d3dd-4006-82e3-26065645d64d}"/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Win% Of Individual Teams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Pivot!$B$47</c:f>
              <c:strCache>
                <c:ptCount val="1"/>
                <c:pt idx="0">
                  <c:v>Win%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1A-4F4B-B7FD-FA100DEFBE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1A-4F4B-B7FD-FA100DEFBE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1A-4F4B-B7FD-FA100DEFBE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1A-4F4B-B7FD-FA100DEFBE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1A-4F4B-B7FD-FA100DEFBE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01A-4F4B-B7FD-FA100DEFBE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01A-4F4B-B7FD-FA100DEFBE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01A-4F4B-B7FD-FA100DEFBE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01A-4F4B-B7FD-FA100DEFBE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01A-4F4B-B7FD-FA100DEFBE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Pivot!$A$48:$A$57</c:f>
              <c:strCache>
                <c:ptCount val="10"/>
                <c:pt idx="0">
                  <c:v>Gujarat Titans</c:v>
                </c:pt>
                <c:pt idx="1">
                  <c:v>Chennai Super Kings</c:v>
                </c:pt>
                <c:pt idx="2">
                  <c:v>Mumbai Indians</c:v>
                </c:pt>
                <c:pt idx="3">
                  <c:v>Lucknow Super Giants</c:v>
                </c:pt>
                <c:pt idx="4">
                  <c:v>Rajasthan Royals</c:v>
                </c:pt>
                <c:pt idx="5">
                  <c:v>Royal Challengers Bangalore</c:v>
                </c:pt>
                <c:pt idx="6">
                  <c:v>Kolkata Knight Riders</c:v>
                </c:pt>
                <c:pt idx="7">
                  <c:v>Punjab Kings</c:v>
                </c:pt>
                <c:pt idx="8">
                  <c:v>Delhi Capitals</c:v>
                </c:pt>
                <c:pt idx="9">
                  <c:v>Sunrisers Hyderabad</c:v>
                </c:pt>
              </c:strCache>
            </c:strRef>
          </c:cat>
          <c:val>
            <c:numRef>
              <c:f>Pivot!$B$48:$B$57</c:f>
              <c:numCache>
                <c:formatCode>0%</c:formatCode>
                <c:ptCount val="10"/>
                <c:pt idx="0">
                  <c:v>0.65</c:v>
                </c:pt>
                <c:pt idx="1">
                  <c:v>0.63</c:v>
                </c:pt>
                <c:pt idx="2">
                  <c:v>0.56000000000000005</c:v>
                </c:pt>
                <c:pt idx="3">
                  <c:v>0.53</c:v>
                </c:pt>
                <c:pt idx="4">
                  <c:v>0.5</c:v>
                </c:pt>
                <c:pt idx="5">
                  <c:v>0.5</c:v>
                </c:pt>
                <c:pt idx="6">
                  <c:v>0.43</c:v>
                </c:pt>
                <c:pt idx="7">
                  <c:v>0.43</c:v>
                </c:pt>
                <c:pt idx="8">
                  <c:v>0.36</c:v>
                </c:pt>
                <c:pt idx="9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01A-4F4B-B7FD-FA100DEFBE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ddef48-4134-470e-9a59-6ace779482b9}"/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2023 ANALYZE DASHBOARD Finale Project.xlsx]Pivot!PivotTable9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Impact</a:t>
            </a:r>
            <a:r>
              <a:rPr lang="en-IN" baseline="0"/>
              <a:t> Of Toss on Match Results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969816011470399"/>
          <c:y val="0.112238603362916"/>
          <c:w val="0.57012379702537197"/>
          <c:h val="0.558911126469043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Pivot!$F$4</c:f>
              <c:strCache>
                <c:ptCount val="1"/>
                <c:pt idx="0">
                  <c:v>Sum of Toss Impact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Pivot!$E$5:$E$15</c:f>
              <c:strCache>
                <c:ptCount val="10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Punjab Kings</c:v>
                </c:pt>
                <c:pt idx="7">
                  <c:v>Rajasthan Royals</c:v>
                </c:pt>
                <c:pt idx="8">
                  <c:v>Royal Challengers Bangalore</c:v>
                </c:pt>
                <c:pt idx="9">
                  <c:v>Sunrisers Hyderabad</c:v>
                </c:pt>
              </c:strCache>
            </c:strRef>
          </c:cat>
          <c:val>
            <c:numRef>
              <c:f>Pivot!$F$5:$F$15</c:f>
              <c:numCache>
                <c:formatCode>General</c:formatCode>
                <c:ptCount val="10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E1-407C-93CC-AE7E5A0FED38}"/>
            </c:ext>
          </c:extLst>
        </c:ser>
        <c:ser>
          <c:idx val="1"/>
          <c:order val="1"/>
          <c:tx>
            <c:strRef>
              <c:f>Pivot!$G$4</c:f>
              <c:strCache>
                <c:ptCount val="1"/>
                <c:pt idx="0">
                  <c:v>Sum of Toss Loose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Pivot!$E$5:$E$15</c:f>
              <c:strCache>
                <c:ptCount val="10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Punjab Kings</c:v>
                </c:pt>
                <c:pt idx="7">
                  <c:v>Rajasthan Royals</c:v>
                </c:pt>
                <c:pt idx="8">
                  <c:v>Royal Challengers Bangalore</c:v>
                </c:pt>
                <c:pt idx="9">
                  <c:v>Sunrisers Hyderabad</c:v>
                </c:pt>
              </c:strCache>
            </c:strRef>
          </c:cat>
          <c:val>
            <c:numRef>
              <c:f>Pivot!$G$5:$G$15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E1-407C-93CC-AE7E5A0FED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863072"/>
        <c:axId val="106868832"/>
      </c:barChart>
      <c:catAx>
        <c:axId val="10686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68832"/>
        <c:crosses val="autoZero"/>
        <c:auto val="1"/>
        <c:lblAlgn val="ctr"/>
        <c:lblOffset val="100"/>
        <c:noMultiLvlLbl val="0"/>
      </c:catAx>
      <c:valAx>
        <c:axId val="106868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6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26c53e-5302-4c5d-97ad-cce52e6a4137}"/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2023 ANALYZE DASHBOARD Finale Project.xlsx]Pivot!PivotTable1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Impact</a:t>
            </a:r>
            <a:r>
              <a:rPr lang="en-IN" baseline="0"/>
              <a:t> Of Home VS Away Venue On Match Results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Home Win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Pivot!$A$4:$A$14</c:f>
              <c:strCache>
                <c:ptCount val="10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Punjab Kings</c:v>
                </c:pt>
                <c:pt idx="7">
                  <c:v>Rajasthan Royals</c:v>
                </c:pt>
                <c:pt idx="8">
                  <c:v>Royal Challengers Bangalore</c:v>
                </c:pt>
                <c:pt idx="9">
                  <c:v>Sunrisers Hyderabad</c:v>
                </c:pt>
              </c:strCache>
            </c:strRef>
          </c:cat>
          <c:val>
            <c:numRef>
              <c:f>Pivot!$B$4:$B$14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F-4152-9527-D46C48DD71D5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Away Win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Pivot!$A$4:$A$14</c:f>
              <c:strCache>
                <c:ptCount val="10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Punjab Kings</c:v>
                </c:pt>
                <c:pt idx="7">
                  <c:v>Rajasthan Royals</c:v>
                </c:pt>
                <c:pt idx="8">
                  <c:v>Royal Challengers Bangalore</c:v>
                </c:pt>
                <c:pt idx="9">
                  <c:v>Sunrisers Hyderabad</c:v>
                </c:pt>
              </c:strCache>
            </c:strRef>
          </c:cat>
          <c:val>
            <c:numRef>
              <c:f>Pivot!$C$4:$C$14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F-4152-9527-D46C48DD71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2698400"/>
        <c:axId val="582695040"/>
      </c:barChart>
      <c:catAx>
        <c:axId val="582698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95040"/>
        <c:crosses val="autoZero"/>
        <c:auto val="1"/>
        <c:lblAlgn val="ctr"/>
        <c:lblOffset val="100"/>
        <c:noMultiLvlLbl val="0"/>
      </c:catAx>
      <c:valAx>
        <c:axId val="582695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pf Wins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9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abd5fc-27ef-4d46-accc-0a4e70794d9f}"/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2023 ANALYZE DASHBOARD Finale Project.xlsx]Pivot!PivotTable3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Impact</a:t>
            </a:r>
            <a:r>
              <a:rPr lang="en-IN" baseline="0"/>
              <a:t> Of Batting VS Fielding First On Match Outcomes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Pivot!$J$5</c:f>
              <c:strCache>
                <c:ptCount val="1"/>
                <c:pt idx="0">
                  <c:v>Batting First Win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Pivot!$I$6:$I$16</c:f>
              <c:strCache>
                <c:ptCount val="10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Punjab Kings</c:v>
                </c:pt>
                <c:pt idx="7">
                  <c:v>Rajasthan Royals</c:v>
                </c:pt>
                <c:pt idx="8">
                  <c:v>Royal Challengers Bangalore</c:v>
                </c:pt>
                <c:pt idx="9">
                  <c:v>Sunrisers Hyderabad</c:v>
                </c:pt>
              </c:strCache>
            </c:strRef>
          </c:cat>
          <c:val>
            <c:numRef>
              <c:f>Pivot!$J$6:$J$16</c:f>
              <c:numCache>
                <c:formatCode>General</c:formatCode>
                <c:ptCount val="1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6-4A02-A17A-6595FF785657}"/>
            </c:ext>
          </c:extLst>
        </c:ser>
        <c:ser>
          <c:idx val="1"/>
          <c:order val="1"/>
          <c:tx>
            <c:strRef>
              <c:f>Pivot!$K$5</c:f>
              <c:strCache>
                <c:ptCount val="1"/>
                <c:pt idx="0">
                  <c:v>Bowling First Win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Pivot!$I$6:$I$16</c:f>
              <c:strCache>
                <c:ptCount val="10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Punjab Kings</c:v>
                </c:pt>
                <c:pt idx="7">
                  <c:v>Rajasthan Royals</c:v>
                </c:pt>
                <c:pt idx="8">
                  <c:v>Royal Challengers Bangalore</c:v>
                </c:pt>
                <c:pt idx="9">
                  <c:v>Sunrisers Hyderabad</c:v>
                </c:pt>
              </c:strCache>
            </c:strRef>
          </c:cat>
          <c:val>
            <c:numRef>
              <c:f>Pivot!$K$6:$K$16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36-4A02-A17A-6595FF7856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2642240"/>
        <c:axId val="582641760"/>
      </c:barChart>
      <c:catAx>
        <c:axId val="58264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41760"/>
        <c:crosses val="autoZero"/>
        <c:auto val="1"/>
        <c:lblAlgn val="ctr"/>
        <c:lblOffset val="100"/>
        <c:noMultiLvlLbl val="0"/>
      </c:catAx>
      <c:valAx>
        <c:axId val="582641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Wins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4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132267-6cac-4444-8df9-bec66a776490}"/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3</xdr:row>
      <xdr:rowOff>15240</xdr:rowOff>
    </xdr:from>
    <xdr:to>
      <xdr:col>5</xdr:col>
      <xdr:colOff>205740</xdr:colOff>
      <xdr:row>23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325880" y="563880"/>
          <a:ext cx="6842760" cy="37566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/>
            <a:t> Key Insights</a:t>
          </a:r>
        </a:p>
        <a:p>
          <a:pPr algn="l"/>
          <a:r>
            <a:rPr lang="en-IN" sz="1600" b="1"/>
            <a:t>. </a:t>
          </a:r>
          <a:r>
            <a:rPr lang="en-IN" sz="1600" b="0"/>
            <a:t>In IPL 2023, away teams won more matches (43) than home teams (27), indicating limited home advantage (For Only Group Matches).</a:t>
          </a:r>
        </a:p>
        <a:p>
          <a:pPr algn="l"/>
          <a:r>
            <a:rPr lang="en-IN" sz="1600" b="1"/>
            <a:t>.</a:t>
          </a:r>
          <a:r>
            <a:rPr lang="en-IN" sz="1600" b="0"/>
            <a:t> In this season, teams batting first won 40 matches, while teams bowling first won 33 matches, showing a slight advantage for batting first.</a:t>
          </a:r>
        </a:p>
        <a:p>
          <a:pPr algn="l"/>
          <a:r>
            <a:rPr lang="en-IN" sz="1600" b="1"/>
            <a:t>. </a:t>
          </a:r>
          <a:r>
            <a:rPr lang="en-IN" sz="1600" b="0"/>
            <a:t>Winning the toss did not provide a strong advantage, as toss losers won 39 matches, compared to 34 wins for toss winners.</a:t>
          </a:r>
        </a:p>
        <a:p>
          <a:pPr algn="l"/>
          <a:r>
            <a:rPr lang="en-IN" sz="1600" b="1"/>
            <a:t>.</a:t>
          </a:r>
          <a:r>
            <a:rPr lang="en-IN" sz="1600" b="1" baseline="0"/>
            <a:t> </a:t>
          </a:r>
          <a:r>
            <a:rPr lang="en-IN" sz="1600" b="0"/>
            <a:t>Mumbai Indians had an impressive home win record, while Punjab Kings performed strongly in away matches.</a:t>
          </a:r>
        </a:p>
        <a:p>
          <a:pPr algn="l"/>
          <a:r>
            <a:rPr lang="en-IN" sz="1600" b="1"/>
            <a:t>.</a:t>
          </a:r>
          <a:r>
            <a:rPr lang="en-IN" sz="1600" b="1" baseline="0"/>
            <a:t> </a:t>
          </a:r>
          <a:r>
            <a:rPr lang="en-IN" sz="1600" b="0"/>
            <a:t>Gujarat Titans had the highest win contribution, while Sunrisers Hyderabad had the lowest.</a:t>
          </a:r>
        </a:p>
        <a:p>
          <a:pPr algn="l"/>
          <a:r>
            <a:rPr lang="en-IN" sz="1600" b="1"/>
            <a:t>. </a:t>
          </a:r>
          <a:r>
            <a:rPr lang="en-IN" sz="1600" b="0"/>
            <a:t>Gujarat Titans recorded the highest win percentage, while Sunrisers Hyderabad had the lowest win percentage.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521917</xdr:colOff>
      <xdr:row>0</xdr:row>
      <xdr:rowOff>0</xdr:rowOff>
    </xdr:from>
    <xdr:to>
      <xdr:col>21</xdr:col>
      <xdr:colOff>0</xdr:colOff>
      <xdr:row>3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959735" y="0"/>
          <a:ext cx="9841865" cy="685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/>
            <a:t>IPL</a:t>
          </a:r>
          <a:r>
            <a:rPr lang="en-IN" sz="2000" baseline="0"/>
            <a:t> 2023 Performance Analysis</a:t>
          </a:r>
          <a:endParaRPr lang="en-IN" sz="2000"/>
        </a:p>
      </xdr:txBody>
    </xdr:sp>
    <xdr:clientData/>
  </xdr:twoCellAnchor>
  <xdr:twoCellAnchor>
    <xdr:from>
      <xdr:col>7</xdr:col>
      <xdr:colOff>114300</xdr:colOff>
      <xdr:row>5</xdr:row>
      <xdr:rowOff>15240</xdr:rowOff>
    </xdr:from>
    <xdr:to>
      <xdr:col>12</xdr:col>
      <xdr:colOff>548640</xdr:colOff>
      <xdr:row>17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3</xdr:row>
      <xdr:rowOff>175260</xdr:rowOff>
    </xdr:from>
    <xdr:to>
      <xdr:col>12</xdr:col>
      <xdr:colOff>190500</xdr:colOff>
      <xdr:row>22</xdr:row>
      <xdr:rowOff>38100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532356</xdr:colOff>
      <xdr:row>23</xdr:row>
      <xdr:rowOff>177452</xdr:rowOff>
    </xdr:from>
    <xdr:to>
      <xdr:col>12</xdr:col>
      <xdr:colOff>231731</xdr:colOff>
      <xdr:row>38</xdr:row>
      <xdr:rowOff>177452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365341</xdr:colOff>
      <xdr:row>5</xdr:row>
      <xdr:rowOff>41753</xdr:rowOff>
    </xdr:from>
    <xdr:to>
      <xdr:col>25</xdr:col>
      <xdr:colOff>281835</xdr:colOff>
      <xdr:row>20</xdr:row>
      <xdr:rowOff>52192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167013</xdr:colOff>
      <xdr:row>5</xdr:row>
      <xdr:rowOff>52193</xdr:rowOff>
    </xdr:from>
    <xdr:to>
      <xdr:col>34</xdr:col>
      <xdr:colOff>501041</xdr:colOff>
      <xdr:row>19</xdr:row>
      <xdr:rowOff>164927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25</xdr:row>
      <xdr:rowOff>83507</xdr:rowOff>
    </xdr:from>
    <xdr:to>
      <xdr:col>22</xdr:col>
      <xdr:colOff>334028</xdr:colOff>
      <xdr:row>38</xdr:row>
      <xdr:rowOff>10438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1</xdr:row>
      <xdr:rowOff>41754</xdr:rowOff>
    </xdr:from>
    <xdr:to>
      <xdr:col>3</xdr:col>
      <xdr:colOff>541751</xdr:colOff>
      <xdr:row>7</xdr:row>
      <xdr:rowOff>52192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24155"/>
          <a:ext cx="1760855" cy="1108075"/>
        </a:xfrm>
        <a:prstGeom prst="rect">
          <a:avLst/>
        </a:prstGeom>
      </xdr:spPr>
    </xdr:pic>
    <xdr:clientData/>
  </xdr:twoCellAnchor>
  <xdr:twoCellAnchor>
    <xdr:from>
      <xdr:col>1</xdr:col>
      <xdr:colOff>20876</xdr:colOff>
      <xdr:row>8</xdr:row>
      <xdr:rowOff>73069</xdr:rowOff>
    </xdr:from>
    <xdr:to>
      <xdr:col>4</xdr:col>
      <xdr:colOff>20876</xdr:colOff>
      <xdr:row>10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629920" y="1536065"/>
          <a:ext cx="1828800" cy="292735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Total Home Wins - 27</a:t>
          </a:r>
        </a:p>
        <a:p>
          <a:endParaRPr lang="en-IN" sz="1100"/>
        </a:p>
      </xdr:txBody>
    </xdr:sp>
    <xdr:clientData/>
  </xdr:twoCellAnchor>
  <xdr:twoCellAnchor editAs="oneCell">
    <xdr:from>
      <xdr:col>0</xdr:col>
      <xdr:colOff>584548</xdr:colOff>
      <xdr:row>9</xdr:row>
      <xdr:rowOff>156575</xdr:rowOff>
    </xdr:from>
    <xdr:to>
      <xdr:col>3</xdr:col>
      <xdr:colOff>334028</xdr:colOff>
      <xdr:row>16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200" y="1802130"/>
          <a:ext cx="1578610" cy="1123950"/>
        </a:xfrm>
        <a:prstGeom prst="rect">
          <a:avLst/>
        </a:prstGeom>
      </xdr:spPr>
    </xdr:pic>
    <xdr:clientData/>
  </xdr:twoCellAnchor>
  <xdr:twoCellAnchor>
    <xdr:from>
      <xdr:col>0</xdr:col>
      <xdr:colOff>553233</xdr:colOff>
      <xdr:row>17</xdr:row>
      <xdr:rowOff>114822</xdr:rowOff>
    </xdr:from>
    <xdr:to>
      <xdr:col>3</xdr:col>
      <xdr:colOff>459288</xdr:colOff>
      <xdr:row>19</xdr:row>
      <xdr:rowOff>52192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553085" y="3223260"/>
          <a:ext cx="1734820" cy="303530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Total Away Wins - 43</a:t>
          </a: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5.53391273148" createdVersion="8" refreshedVersion="8" minRefreshableVersion="3" recordCount="75" xr:uid="{00000000-000A-0000-FFFF-FFFF00000000}">
  <cacheSource type="worksheet">
    <worksheetSource ref="A1:W1048576" sheet="IPL23dataset"/>
  </cacheSource>
  <cacheFields count="23">
    <cacheField name="Match Number" numFmtId="0">
      <sharedItems containsString="0" containsBlank="1" containsNumber="1" containsInteger="1" minValue="1" maxValue="74"/>
    </cacheField>
    <cacheField name="Venue" numFmtId="0">
      <sharedItems containsBlank="1"/>
    </cacheField>
    <cacheField name="Team1" numFmtId="0">
      <sharedItems containsBlank="1"/>
    </cacheField>
    <cacheField name="Team2" numFmtId="0">
      <sharedItems containsBlank="1"/>
    </cacheField>
    <cacheField name="Toss winning team" numFmtId="0">
      <sharedItems containsBlank="1"/>
    </cacheField>
    <cacheField name="Toss Loosing Team" numFmtId="0">
      <sharedItems containsBlank="1"/>
    </cacheField>
    <cacheField name="Toss Decision" numFmtId="0">
      <sharedItems containsBlank="1"/>
    </cacheField>
    <cacheField name="First batting team" numFmtId="0">
      <sharedItems containsBlank="1"/>
    </cacheField>
    <cacheField name="Second batting team" numFmtId="0">
      <sharedItems containsBlank="1"/>
    </cacheField>
    <cacheField name="First Innings Score" numFmtId="0">
      <sharedItems containsBlank="1"/>
    </cacheField>
    <cacheField name="Overs in First innings" numFmtId="0">
      <sharedItems containsString="0" containsBlank="1" containsNumber="1" minValue="17.5" maxValue="20"/>
    </cacheField>
    <cacheField name="Second Innings Score" numFmtId="0">
      <sharedItems containsBlank="1"/>
    </cacheField>
    <cacheField name="Overs in Second innings" numFmtId="0">
      <sharedItems containsString="0" containsBlank="1" containsNumber="1" minValue="10.3" maxValue="20"/>
    </cacheField>
    <cacheField name="Winning Team" numFmtId="0">
      <sharedItems containsBlank="1" count="12">
        <s v="Gujarat Titans"/>
        <s v="Punjab Kings"/>
        <s v="Lucknow Super Giants"/>
        <s v="Rajasthan Royals"/>
        <s v="Royal Challengers Bangalore"/>
        <s v="Chennai Super Kings"/>
        <s v="Kolkata Knight Riders"/>
        <s v="Sunrisers Hyderabad"/>
        <s v="Mumbai Indians"/>
        <s v="Delhi Capitals"/>
        <s v="Match Abandoned Due To Rain"/>
        <m/>
      </sharedItems>
    </cacheField>
    <cacheField name="Won By" numFmtId="0">
      <sharedItems containsBlank="1"/>
    </cacheField>
    <cacheField name="Status" numFmtId="0">
      <sharedItems containsBlank="1"/>
    </cacheField>
    <cacheField name="Toss Impact" numFmtId="0">
      <sharedItems containsString="0" containsBlank="1" containsNumber="1" containsInteger="1" minValue="0" maxValue="1"/>
    </cacheField>
    <cacheField name="Toss Loose" numFmtId="0">
      <sharedItems containsString="0" containsBlank="1" containsNumber="1" containsInteger="1" minValue="0" maxValue="1"/>
    </cacheField>
    <cacheField name="Home Team Column" numFmtId="0">
      <sharedItems containsBlank="1"/>
    </cacheField>
    <cacheField name="Home Win" numFmtId="0">
      <sharedItems containsBlank="1" containsMixedTypes="1" containsNumber="1" containsInteger="1" minValue="0" maxValue="1"/>
    </cacheField>
    <cacheField name="Away Win" numFmtId="0">
      <sharedItems containsBlank="1" containsMixedTypes="1" containsNumber="1" containsInteger="1" minValue="0" maxValue="1"/>
    </cacheField>
    <cacheField name="Batting First" numFmtId="0">
      <sharedItems containsString="0" containsBlank="1" containsNumber="1" containsInteger="1" minValue="0" maxValue="1"/>
    </cacheField>
    <cacheField name="Bowling First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1"/>
    <s v="Narendra Modi Stadium,  Ahmedabad"/>
    <s v="Gujarat Titans"/>
    <s v="Chennai Super Kings"/>
    <s v="Gujarat Titans "/>
    <s v="Chennai Super Kings"/>
    <s v="bowl"/>
    <s v="Chennai Super Kings"/>
    <s v="Gujarat Titans"/>
    <s v="178/7 "/>
    <n v="20"/>
    <s v="182/5 "/>
    <n v="19.2"/>
    <x v="0"/>
    <s v="5 wickets"/>
    <s v="League Matches"/>
    <n v="1"/>
    <n v="0"/>
    <s v="Gujarat Titans"/>
    <n v="1"/>
    <n v="0"/>
    <n v="0"/>
    <n v="1"/>
  </r>
  <r>
    <n v="2"/>
    <s v="Punjab Cricket Association IS Bindra Stadium,  Mohali,  Chandigarh"/>
    <s v="Punjab Kings"/>
    <s v="Kolkata Knight Riders"/>
    <s v="Kolkata Knight Riders "/>
    <s v="Punjab Kings"/>
    <s v="bowl"/>
    <s v="Punjab Kings"/>
    <s v="Kolkata Knight Riders"/>
    <s v="191/5 "/>
    <n v="20"/>
    <s v="146/7 "/>
    <n v="16"/>
    <x v="1"/>
    <s v="7 runs (DLS Method)."/>
    <s v="League Matches"/>
    <n v="0"/>
    <n v="1"/>
    <s v="Punjab Kings"/>
    <n v="1"/>
    <n v="0"/>
    <n v="1"/>
    <n v="0"/>
  </r>
  <r>
    <n v="3"/>
    <s v="Bharat Ratna Shri Atal Bihari Vajpayee Ekana Cricket Stadium,  Lucknow"/>
    <s v="Lucknow Super Giants"/>
    <s v="Delhi Capitals"/>
    <s v="Delhi Capitals "/>
    <s v="Lucknow Super Giants"/>
    <s v="bowl"/>
    <s v="Lucknow Super Giants"/>
    <s v="Delhi Capitals"/>
    <s v="193/6 "/>
    <n v="20"/>
    <s v="143/9 "/>
    <n v="20"/>
    <x v="2"/>
    <s v="50 runs."/>
    <s v="League Matches"/>
    <n v="0"/>
    <n v="1"/>
    <s v="Lucknow Super Giants"/>
    <n v="1"/>
    <n v="0"/>
    <n v="1"/>
    <n v="0"/>
  </r>
  <r>
    <n v="4"/>
    <s v="Rajiv Gandhi International Stadium,  Uppal,  Hyderabad"/>
    <s v="Sunrisers Hyderabad"/>
    <s v="Rajasthan Royals"/>
    <s v="Sunrisers Hyderabad "/>
    <s v="Rajasthan Royals"/>
    <s v="bowl"/>
    <s v="Rajasthan Royals"/>
    <s v="Sunrisers Hyderabad"/>
    <s v="203/5 "/>
    <n v="20"/>
    <s v="131/8 "/>
    <n v="20"/>
    <x v="3"/>
    <s v="72 runs."/>
    <s v="League Matches"/>
    <n v="0"/>
    <n v="1"/>
    <s v="Sunrisers Hyderabad"/>
    <n v="0"/>
    <n v="1"/>
    <n v="1"/>
    <n v="0"/>
  </r>
  <r>
    <n v="5"/>
    <s v="M.Chinnaswamy Stadium,  Bengaluru"/>
    <s v="Royal Challengers Bangalore"/>
    <s v="Mumbai Indians"/>
    <s v="Royal Challengers Bangalore "/>
    <s v="Mumbai Indians"/>
    <s v="bowl"/>
    <s v="Mumbai Indians"/>
    <s v="Royal Challengers Bangalore"/>
    <s v="171/7 "/>
    <n v="20"/>
    <s v="172/2 "/>
    <n v="16.2"/>
    <x v="4"/>
    <s v="8 wickets"/>
    <s v="League Matches"/>
    <n v="1"/>
    <n v="0"/>
    <s v="Royal Challengers Bangalore"/>
    <n v="1"/>
    <n v="0"/>
    <n v="0"/>
    <n v="1"/>
  </r>
  <r>
    <n v="6"/>
    <s v="MA Chidambaram Stadium,  Chennai"/>
    <s v="Chennai Super Kings"/>
    <s v="Lucknow Super Giants"/>
    <s v="Lucknow Super Giants "/>
    <s v="Chennai Super Kings"/>
    <s v="bowl"/>
    <s v="Chennai Super Kings"/>
    <s v="Lucknow Super Giants"/>
    <s v="217/7 "/>
    <n v="20"/>
    <s v="205/7 "/>
    <n v="20"/>
    <x v="5"/>
    <s v="12 runs."/>
    <s v="League Matches"/>
    <n v="0"/>
    <n v="1"/>
    <s v="Chennai Super Kings"/>
    <n v="1"/>
    <n v="0"/>
    <n v="1"/>
    <n v="0"/>
  </r>
  <r>
    <n v="7"/>
    <s v="Arun Jaitley Stadium,  Delhi"/>
    <s v="Delhi Capitals"/>
    <s v="Gujarat Titans"/>
    <s v="Gujarat Titans "/>
    <s v="Delhi Capitals"/>
    <s v="bowl"/>
    <s v="Delhi Capitals"/>
    <s v="Gujarat Titans"/>
    <s v="162/8 "/>
    <n v="20"/>
    <s v="163/4 "/>
    <n v="18.100000000000001"/>
    <x v="0"/>
    <s v="6 wickets"/>
    <s v="League Matches"/>
    <n v="1"/>
    <n v="0"/>
    <s v="Delhi Capitals"/>
    <n v="0"/>
    <n v="1"/>
    <n v="0"/>
    <n v="1"/>
  </r>
  <r>
    <n v="8"/>
    <s v="Barsapara Cricket Stadium,  Guwahati"/>
    <s v="Rajasthan Royals"/>
    <s v="Punjab Kings"/>
    <s v="Rajasthan Royals "/>
    <s v="Punjab Kings"/>
    <s v="bowl"/>
    <s v="Punjab Kings"/>
    <s v="Rajasthan Royals"/>
    <s v="197/4 "/>
    <n v="20"/>
    <s v="192/7 "/>
    <n v="20"/>
    <x v="1"/>
    <s v="5 runs."/>
    <s v="League Matches"/>
    <n v="0"/>
    <n v="1"/>
    <s v="Rajasthan Royals"/>
    <n v="0"/>
    <n v="1"/>
    <n v="1"/>
    <n v="0"/>
  </r>
  <r>
    <n v="9"/>
    <s v="Eden Gardens,  Kolkata"/>
    <s v="Kolkata Knight Riders"/>
    <s v="Royal Challengers Bangalore"/>
    <s v="Royal Challengers Bangalore "/>
    <s v="Kolkata Knight Riders"/>
    <s v="bowl"/>
    <s v="Kolkata Knight Riders"/>
    <s v="Royal Challengers Bangalore"/>
    <s v="204/7 "/>
    <n v="20"/>
    <s v="123/10 "/>
    <n v="17.399999999999999"/>
    <x v="6"/>
    <s v="81 runs."/>
    <s v="League Matches"/>
    <n v="0"/>
    <n v="1"/>
    <s v="Kolkata Knight Riders"/>
    <n v="1"/>
    <n v="0"/>
    <n v="1"/>
    <n v="0"/>
  </r>
  <r>
    <n v="10"/>
    <s v="Bharat Ratna Shri Atal Bihari Vajpayee Ekana Cricket Stadium,  Lucknow"/>
    <s v="Lucknow Super Giants"/>
    <s v="Sunrisers Hyderabad"/>
    <s v="Sunrisers Hyderabad "/>
    <s v="Lucknow Super Giants"/>
    <s v="bat"/>
    <s v="Sunrisers Hyderabad"/>
    <s v="Lucknow Super Giants"/>
    <s v="121/8 "/>
    <n v="20"/>
    <s v="127/5 "/>
    <n v="16"/>
    <x v="2"/>
    <s v="5 wickets"/>
    <s v="League Matches"/>
    <n v="0"/>
    <n v="1"/>
    <s v="Lucknow Super Giants"/>
    <n v="1"/>
    <n v="0"/>
    <n v="0"/>
    <n v="1"/>
  </r>
  <r>
    <n v="11"/>
    <s v="Barsapara Cricket Stadium,  Guwahati"/>
    <s v="Rajasthan Royals"/>
    <s v="Delhi Capitals"/>
    <s v="Delhi Capitals "/>
    <s v="Rajasthan Royals"/>
    <s v="bowl"/>
    <s v="Rajasthan Royals"/>
    <s v="Delhi Capitals"/>
    <s v="199/4 "/>
    <n v="20"/>
    <s v="142/9 "/>
    <n v="20"/>
    <x v="3"/>
    <s v="57 runs."/>
    <s v="League Matches"/>
    <n v="0"/>
    <n v="1"/>
    <s v="Rajasthan Royals"/>
    <n v="1"/>
    <n v="0"/>
    <n v="1"/>
    <n v="0"/>
  </r>
  <r>
    <n v="12"/>
    <s v="Wankhede Stadium,  Mumbai"/>
    <s v="Mumbai Indians"/>
    <s v="Chennai Super Kings"/>
    <s v="Chennai Super Kings "/>
    <s v="Mumbai Indians"/>
    <s v="bowl"/>
    <s v="Mumbai Indians"/>
    <s v="Chennai Super Kings"/>
    <s v="157/8 "/>
    <n v="20"/>
    <s v="159/3 "/>
    <n v="18.100000000000001"/>
    <x v="5"/>
    <s v="7 wickets"/>
    <s v="League Matches"/>
    <n v="1"/>
    <n v="0"/>
    <s v="Mumbai Indians"/>
    <n v="0"/>
    <n v="1"/>
    <n v="0"/>
    <n v="1"/>
  </r>
  <r>
    <n v="13"/>
    <s v="Narendra Modi Stadium,  Ahmedabad"/>
    <s v="Gujarat Titans"/>
    <s v="Kolkata Knight Riders"/>
    <s v="Gujarat Titans "/>
    <s v="Kolkata Knight Riders"/>
    <s v="bat"/>
    <s v="Gujarat Titans"/>
    <s v="Kolkata Knight Riders"/>
    <s v="204/4 "/>
    <n v="20"/>
    <s v="207/7 "/>
    <n v="20"/>
    <x v="6"/>
    <s v="3 wickets"/>
    <s v="League Matches"/>
    <n v="0"/>
    <n v="1"/>
    <s v="Gujarat Titans"/>
    <n v="0"/>
    <n v="1"/>
    <n v="0"/>
    <n v="1"/>
  </r>
  <r>
    <n v="14"/>
    <s v="Rajiv Gandhi International Stadium,  Uppal,  Hyderabad"/>
    <s v="Sunrisers Hyderabad"/>
    <s v="Punjab Kings"/>
    <s v="Sunrisers Hyderabad "/>
    <s v="Punjab Kings"/>
    <s v="bowl"/>
    <s v="Punjab Kings"/>
    <s v="Sunrisers Hyderabad"/>
    <s v="143/9 "/>
    <n v="20"/>
    <s v="145/2 "/>
    <n v="17.100000000000001"/>
    <x v="7"/>
    <s v="8 wickets"/>
    <s v="League Matches"/>
    <n v="1"/>
    <n v="0"/>
    <s v="Sunrisers Hyderabad"/>
    <n v="1"/>
    <n v="0"/>
    <n v="0"/>
    <n v="1"/>
  </r>
  <r>
    <n v="15"/>
    <s v="M.Chinnaswamy Stadium,  Bengaluru"/>
    <s v="Royal Challengers Bangalore"/>
    <s v="Lucknow Super Giants"/>
    <s v="Lucknow Super Giants "/>
    <s v="Royal Challengers Bangalore"/>
    <s v="bowl"/>
    <s v="Royal Challengers Bangalore"/>
    <s v="Lucknow Super Giants"/>
    <s v="212/2 "/>
    <n v="20"/>
    <s v="213/9 "/>
    <n v="20"/>
    <x v="2"/>
    <s v="1 wickets"/>
    <s v="League Matches"/>
    <n v="1"/>
    <n v="0"/>
    <s v="Royal Challengers Bangalore"/>
    <n v="0"/>
    <n v="1"/>
    <n v="0"/>
    <n v="1"/>
  </r>
  <r>
    <n v="16"/>
    <s v="Arun Jaitley Stadium,  Delhi"/>
    <s v="Delhi Capitals"/>
    <s v="Mumbai Indians"/>
    <s v="Mumbai Indians "/>
    <s v="Delhi Capitals"/>
    <s v="bowl"/>
    <s v="Delhi Capitals"/>
    <s v="Mumbai Indians"/>
    <s v="172/10 "/>
    <n v="19.399999999999999"/>
    <s v="173/4 "/>
    <n v="20"/>
    <x v="8"/>
    <s v="6 wickets"/>
    <s v="League Matches"/>
    <n v="1"/>
    <n v="0"/>
    <s v="Delhi Capitals"/>
    <n v="0"/>
    <n v="1"/>
    <n v="0"/>
    <n v="1"/>
  </r>
  <r>
    <n v="17"/>
    <s v="MA Chidambaram Stadium,  Chennai"/>
    <s v="Chennai Super Kings"/>
    <s v="Rajasthan Royals"/>
    <s v="Chennai Super Kings "/>
    <s v="Rajasthan Royals"/>
    <s v="bowl"/>
    <s v="Rajasthan Royals"/>
    <s v="Chennai Super Kings"/>
    <s v="175/8 "/>
    <n v="20"/>
    <s v="172/6 "/>
    <n v="20"/>
    <x v="3"/>
    <s v="3 runs."/>
    <s v="League Matches"/>
    <n v="0"/>
    <n v="1"/>
    <s v="Chennai Super Kings"/>
    <n v="0"/>
    <n v="1"/>
    <n v="1"/>
    <n v="0"/>
  </r>
  <r>
    <n v="18"/>
    <s v="Punjab Cricket Association IS Bindra Stadium,  Mohali,  Chandigarh"/>
    <s v="Punjab Kings"/>
    <s v="Gujarat Titans"/>
    <s v="Gujarat Titans "/>
    <s v="Punjab Kings"/>
    <s v="bowl"/>
    <s v="Punjab Kings"/>
    <s v="Gujarat Titans"/>
    <s v="153/8 "/>
    <n v="20"/>
    <s v="154/4 "/>
    <n v="19.5"/>
    <x v="0"/>
    <s v="6 wickets"/>
    <s v="League Matches"/>
    <n v="1"/>
    <n v="0"/>
    <s v="Punjab Kings"/>
    <n v="0"/>
    <n v="1"/>
    <n v="0"/>
    <n v="1"/>
  </r>
  <r>
    <n v="19"/>
    <s v="Eden Gardens,  Kolkata"/>
    <s v="Kolkata Knight Riders"/>
    <s v="Sunrisers Hyderabad"/>
    <s v="Kolkata Knight Riders "/>
    <s v="Sunrisers Hyderabad"/>
    <s v="bowl"/>
    <s v="Sunrisers Hyderabad"/>
    <s v="Kolkata Knight Riders"/>
    <s v="228/4 "/>
    <n v="20"/>
    <s v="205/7 "/>
    <n v="20"/>
    <x v="7"/>
    <s v="23 runs."/>
    <s v="League Matches"/>
    <n v="0"/>
    <n v="1"/>
    <s v="Kolkata Knight Riders"/>
    <n v="0"/>
    <n v="1"/>
    <n v="1"/>
    <n v="0"/>
  </r>
  <r>
    <n v="20"/>
    <s v="M.Chinnaswamy Stadium,  Bengaluru"/>
    <s v="Royal Challengers Bangalore"/>
    <s v="Delhi Capitals"/>
    <s v="Delhi Capitals "/>
    <s v="Royal Challengers Bangalore"/>
    <s v="bowl"/>
    <s v="Royal Challengers Bangalore"/>
    <s v="Delhi Capitals"/>
    <s v="174/6 "/>
    <n v="20"/>
    <s v="151/9 "/>
    <n v="20"/>
    <x v="4"/>
    <s v="23 runs."/>
    <s v="League Matches"/>
    <n v="0"/>
    <n v="1"/>
    <s v="Royal Challengers Bangalore"/>
    <n v="1"/>
    <n v="0"/>
    <n v="1"/>
    <n v="0"/>
  </r>
  <r>
    <n v="21"/>
    <s v="Bharat Ratna Shri Atal Bihari Vajpayee Ekana Cricket Stadium,  Lucknow"/>
    <s v="Lucknow Super Giants"/>
    <s v="Punjab Kings"/>
    <s v="Punjab Kings "/>
    <s v="Lucknow Super Giants"/>
    <s v="bowl"/>
    <s v="Lucknow Super Giants"/>
    <s v="Punjab Kings"/>
    <s v="159/8 "/>
    <n v="20"/>
    <s v="161/8 "/>
    <n v="19.3"/>
    <x v="1"/>
    <s v="2 wickets"/>
    <s v="League Matches"/>
    <n v="1"/>
    <n v="0"/>
    <s v="Lucknow Super Giants"/>
    <n v="0"/>
    <n v="1"/>
    <n v="0"/>
    <n v="1"/>
  </r>
  <r>
    <n v="22"/>
    <s v="Wankhede Stadium,  Mumbai"/>
    <s v="Mumbai Indians"/>
    <s v="Kolkata Knight Riders"/>
    <s v="Mumbai Indians "/>
    <s v="Kolkata Knight Riders"/>
    <s v="bowl"/>
    <s v="Kolkata Knight Riders"/>
    <s v="Mumbai Indians"/>
    <s v="185/6 "/>
    <n v="20"/>
    <s v="186/5 "/>
    <n v="17.399999999999999"/>
    <x v="8"/>
    <s v="5 wickets"/>
    <s v="League Matches"/>
    <n v="1"/>
    <n v="0"/>
    <s v="Mumbai Indians"/>
    <n v="1"/>
    <n v="0"/>
    <n v="0"/>
    <n v="1"/>
  </r>
  <r>
    <n v="23"/>
    <s v="Narendra Modi Stadium,  Ahmedabad"/>
    <s v="Gujarat Titans"/>
    <s v="Rajasthan Royals"/>
    <s v="Rajasthan Royals "/>
    <s v="Gujarat Titans"/>
    <s v="bowl"/>
    <s v="Gujarat Titans"/>
    <s v="Rajasthan Royals"/>
    <s v="177/7 "/>
    <n v="20"/>
    <s v="179/7 "/>
    <n v="19.2"/>
    <x v="3"/>
    <s v="3 wickets"/>
    <s v="League Matches"/>
    <n v="1"/>
    <n v="0"/>
    <s v="Gujarat Titans"/>
    <n v="0"/>
    <n v="1"/>
    <n v="0"/>
    <n v="1"/>
  </r>
  <r>
    <n v="24"/>
    <s v="M.Chinnaswamy Stadium,  Bengaluru"/>
    <s v="Royal Challengers Bangalore"/>
    <s v="Chennai Super Kings"/>
    <s v="Royal Challengers Bangalore "/>
    <s v="Chennai Super Kings"/>
    <s v="bowl"/>
    <s v="Chennai Super Kings"/>
    <s v="Royal Challengers Bangalore"/>
    <s v="226/6 "/>
    <n v="20"/>
    <s v="218/8 "/>
    <n v="20"/>
    <x v="5"/>
    <s v="8 runs."/>
    <s v="League Matches"/>
    <n v="0"/>
    <n v="1"/>
    <s v="Royal Challengers Bangalore"/>
    <n v="0"/>
    <n v="1"/>
    <n v="1"/>
    <n v="0"/>
  </r>
  <r>
    <n v="25"/>
    <s v="Rajiv Gandhi International Stadium,  Uppal,  Hyderabad"/>
    <s v="Sunrisers Hyderabad"/>
    <s v="Mumbai Indians"/>
    <s v="Sunrisers Hyderabad "/>
    <s v="Mumbai Indians"/>
    <s v="bowl"/>
    <s v="Mumbai Indians"/>
    <s v="Sunrisers Hyderabad"/>
    <s v="192/5 "/>
    <n v="20"/>
    <s v="178/10 "/>
    <n v="19.5"/>
    <x v="8"/>
    <s v="14 runs."/>
    <s v="League Matches"/>
    <n v="0"/>
    <n v="1"/>
    <s v="Sunrisers Hyderabad"/>
    <n v="0"/>
    <n v="1"/>
    <n v="1"/>
    <n v="0"/>
  </r>
  <r>
    <n v="26"/>
    <s v="Sawai Mansingh Stadium,  Jaipur"/>
    <s v="Rajasthan Royals"/>
    <s v="Lucknow Super Giants"/>
    <s v="Rajasthan Royals "/>
    <s v="Lucknow Super Giants"/>
    <s v="bowl"/>
    <s v="Lucknow Super Giants"/>
    <s v="Rajasthan Royals"/>
    <s v="154/7 "/>
    <n v="20"/>
    <s v="144/6 "/>
    <n v="20"/>
    <x v="2"/>
    <s v="10 runs."/>
    <s v="League Matches"/>
    <n v="0"/>
    <n v="1"/>
    <s v="Rajasthan Royals"/>
    <n v="0"/>
    <n v="1"/>
    <n v="1"/>
    <n v="0"/>
  </r>
  <r>
    <n v="27"/>
    <s v="Punjab Cricket Association IS Bindra Stadium,  Mohali,  Chandigarh"/>
    <s v="Punjab Kings"/>
    <s v="Royal Challengers Bangalore"/>
    <s v="Punjab Kings "/>
    <s v="Royal Challengers Bangalore"/>
    <s v="bowl"/>
    <s v="Royal Challengers Bangalore"/>
    <s v="Punjab Kings"/>
    <s v="174/4 "/>
    <n v="20"/>
    <s v="150/10 "/>
    <n v="18.2"/>
    <x v="4"/>
    <s v="24 runs."/>
    <s v="League Matches"/>
    <n v="0"/>
    <n v="1"/>
    <s v="Punjab Kings"/>
    <n v="0"/>
    <n v="1"/>
    <n v="1"/>
    <n v="0"/>
  </r>
  <r>
    <n v="28"/>
    <s v="Arun Jaitley Stadium,  Delhi"/>
    <s v="Delhi Capitals"/>
    <s v="Kolkata Knight Riders"/>
    <s v="Delhi Capitals "/>
    <s v="Kolkata Knight Riders"/>
    <s v="bowl"/>
    <s v="Kolkata Knight Riders"/>
    <s v="Delhi Capitals"/>
    <s v="127/10 "/>
    <n v="20"/>
    <s v="128/6 "/>
    <n v="19.2"/>
    <x v="9"/>
    <s v="4 wickets"/>
    <s v="League Matches"/>
    <n v="1"/>
    <n v="0"/>
    <s v="Delhi Capitals"/>
    <n v="1"/>
    <n v="0"/>
    <n v="0"/>
    <n v="1"/>
  </r>
  <r>
    <n v="29"/>
    <s v="MA Chidambaram Stadium,  Chennai"/>
    <s v="Chennai Super Kings"/>
    <s v="Sunrises Hyderabad"/>
    <s v="Chennai Super Kings "/>
    <s v="Sunrises Hyderabad"/>
    <s v="bowl"/>
    <s v="Sunrisers Hyderabad"/>
    <s v="Chennai Super Kings"/>
    <s v="134/7 "/>
    <n v="20"/>
    <s v="138/3 "/>
    <n v="18.399999999999999"/>
    <x v="5"/>
    <s v="7 wickets"/>
    <s v="League Matches"/>
    <n v="1"/>
    <n v="0"/>
    <s v="Chennai Super Kings"/>
    <n v="1"/>
    <n v="0"/>
    <n v="0"/>
    <n v="1"/>
  </r>
  <r>
    <n v="30"/>
    <s v="Bharat Ratna Shri Atal Bihari Vajpayee Ekana Cricket Stadium,  Lucknow"/>
    <s v="Lucknow Super Giants"/>
    <s v="Gujarat Titans"/>
    <s v="Gujarat Titans "/>
    <s v="Lucknow Super Giants"/>
    <s v="bat"/>
    <s v="Gujarat Titans"/>
    <s v="Lucknow Super Giants"/>
    <s v="135/6 "/>
    <n v="20"/>
    <s v="128/7 "/>
    <n v="20"/>
    <x v="0"/>
    <s v="7 runs."/>
    <s v="League Matches"/>
    <n v="1"/>
    <n v="0"/>
    <s v="Lucknow Super Giants"/>
    <n v="0"/>
    <n v="1"/>
    <n v="1"/>
    <n v="0"/>
  </r>
  <r>
    <n v="31"/>
    <s v="Wankhede Stadium,  Mumbai"/>
    <s v="Mumbai Indians"/>
    <s v="Punjab Kings"/>
    <s v="Mumbai Indians "/>
    <s v="Punjab Kings"/>
    <s v="bowl"/>
    <s v="Punjab Kings"/>
    <s v="Mumbai Indians"/>
    <s v="214/8 "/>
    <n v="20"/>
    <s v="201/6 "/>
    <n v="20"/>
    <x v="1"/>
    <s v="13 runs."/>
    <s v="League Matches"/>
    <n v="0"/>
    <n v="1"/>
    <s v="Mumbai Indians"/>
    <n v="0"/>
    <n v="1"/>
    <n v="1"/>
    <n v="0"/>
  </r>
  <r>
    <n v="32"/>
    <s v="M.Chinnaswamy Stadium,  Bengaluru"/>
    <s v="Royals Challengers Bangalore"/>
    <s v="Rajasthan Royals"/>
    <s v="Rajasthan Royals "/>
    <s v="Royals Challengers Bangalore"/>
    <s v="bowl"/>
    <s v="Royal Challengers Bangalore"/>
    <s v="Rajasthan Royals"/>
    <s v="189/9 "/>
    <n v="20"/>
    <s v="182/6 "/>
    <n v="20"/>
    <x v="4"/>
    <s v="7 runs."/>
    <s v="League Matches"/>
    <n v="0"/>
    <n v="1"/>
    <s v="Royal Challengers Bangalore"/>
    <n v="1"/>
    <n v="0"/>
    <n v="1"/>
    <n v="0"/>
  </r>
  <r>
    <n v="33"/>
    <s v="Eden Gardens,  Kolkata"/>
    <s v="Kolkata Knight Riders"/>
    <s v="Chennai Super Kings"/>
    <s v="Kolkata Knight Riders "/>
    <s v="Chennai Super Kings"/>
    <s v="bowl"/>
    <s v="Chennai Super Kings"/>
    <s v="Kolkata Knight Riders"/>
    <s v="235/4 "/>
    <n v="20"/>
    <s v="186/8 "/>
    <n v="20"/>
    <x v="5"/>
    <s v="49 runs."/>
    <s v="League Matches"/>
    <n v="0"/>
    <n v="1"/>
    <s v="Kolkata Knight Riders"/>
    <n v="0"/>
    <n v="1"/>
    <n v="1"/>
    <n v="0"/>
  </r>
  <r>
    <n v="34"/>
    <s v="Rajiv Gandhi International Stadium,  Uppal,  Hyderabad"/>
    <s v="Sunrisers Hyderabad"/>
    <s v="Delhi Capitals"/>
    <s v="Delhi Capitals "/>
    <s v="Sunrisers Hyderabad"/>
    <s v="bat"/>
    <s v="Delhi Capitals"/>
    <s v="Sunrisers Hyderabad"/>
    <s v="144/9 "/>
    <n v="20"/>
    <s v="137/6 "/>
    <n v="20"/>
    <x v="9"/>
    <s v="7 runs."/>
    <s v="League Matches"/>
    <n v="1"/>
    <n v="0"/>
    <s v="Sunrisers Hyderabad"/>
    <n v="0"/>
    <n v="1"/>
    <n v="1"/>
    <n v="0"/>
  </r>
  <r>
    <n v="35"/>
    <s v="Narendra Modi Stadium,  Ahmedabad"/>
    <s v="Gujarat Titans"/>
    <s v="Mumbai Indians"/>
    <s v="Mumbai Indians "/>
    <s v="Gujarat Titans"/>
    <s v="bowl"/>
    <s v="Gujarat Titans"/>
    <s v="Mumbai Indians"/>
    <s v="207/6 "/>
    <n v="20"/>
    <s v="152/9 "/>
    <n v="20"/>
    <x v="0"/>
    <s v="55 runs."/>
    <s v="League Matches"/>
    <n v="0"/>
    <n v="1"/>
    <s v="Gujarat Titans"/>
    <n v="1"/>
    <n v="0"/>
    <n v="1"/>
    <n v="0"/>
  </r>
  <r>
    <n v="36"/>
    <s v="M.Chinnaswamy Stadium,  Bengaluru"/>
    <s v="Royal Challengers Bangalore"/>
    <s v="Kolkata Knight Riders"/>
    <s v="Royal Challengers Bangalore "/>
    <s v="Kolkata Knight Riders"/>
    <s v="bowl"/>
    <s v="Kolkata Knight Riders"/>
    <s v="Royal Challengers Bangalore"/>
    <s v="200/5 "/>
    <n v="20"/>
    <s v="179/8 "/>
    <n v="20"/>
    <x v="6"/>
    <s v="21 runs."/>
    <s v="League Matches"/>
    <n v="0"/>
    <n v="1"/>
    <s v="Royal Challengers Bangalore"/>
    <n v="0"/>
    <n v="1"/>
    <n v="1"/>
    <n v="0"/>
  </r>
  <r>
    <n v="37"/>
    <s v="Sawai Mansingh Stadium,  Jaipur"/>
    <s v="Rajasthan Royals"/>
    <s v="Chennai Super Kings"/>
    <s v="Rajasthan Royals "/>
    <s v="Chennai Super Kings"/>
    <s v="bat"/>
    <s v="Rajasthan Royals"/>
    <s v="Chennai Super Kings"/>
    <s v="202/5 "/>
    <n v="20"/>
    <s v="170/6 "/>
    <n v="20"/>
    <x v="3"/>
    <s v="32 runs."/>
    <s v="League Matches"/>
    <n v="1"/>
    <n v="0"/>
    <s v="Rajasthan Royals"/>
    <n v="1"/>
    <n v="0"/>
    <n v="1"/>
    <n v="0"/>
  </r>
  <r>
    <n v="38"/>
    <s v="Punjab Cricket Association IS Bindra Stadium,  Mohali,  Chandigarh"/>
    <s v="Punjab Kings"/>
    <s v="Lucknow Super Giants"/>
    <s v="Punjab Kings "/>
    <s v="Lucknow Super Giants"/>
    <s v="bowl"/>
    <s v="Lucknow Super Giants"/>
    <s v="Punjab Kings"/>
    <s v="257/5 "/>
    <n v="20"/>
    <s v="201/10 "/>
    <n v="19.5"/>
    <x v="2"/>
    <s v="56 runs."/>
    <s v="League Matches"/>
    <n v="0"/>
    <n v="1"/>
    <s v="Punjab Kings"/>
    <n v="0"/>
    <n v="1"/>
    <n v="1"/>
    <n v="0"/>
  </r>
  <r>
    <n v="39"/>
    <s v="Eden Gardens,  Kolkata"/>
    <s v="Kolkata Knight Riders"/>
    <s v="Gujarat Titans"/>
    <s v="Gujarat Titans "/>
    <s v="Kolkata Knight Riders"/>
    <s v="bowl"/>
    <s v="Kolkata Knight Riders"/>
    <s v="Gujarat Titans"/>
    <s v="179/7 "/>
    <n v="20"/>
    <s v="180/3 "/>
    <n v="17.5"/>
    <x v="0"/>
    <s v="7 wickets"/>
    <s v="League Matches"/>
    <n v="1"/>
    <n v="0"/>
    <s v="Kolkata Knight Riders"/>
    <n v="0"/>
    <n v="1"/>
    <n v="0"/>
    <n v="1"/>
  </r>
  <r>
    <n v="40"/>
    <s v="Arun Jaitley Stadium,  Delhi"/>
    <s v="Delhi Capitals"/>
    <s v="Sunriders Hyderabad"/>
    <s v="Sunrisers Hyderabad "/>
    <s v="Delhi Capitals"/>
    <s v="bat"/>
    <s v="Sunrisers Hyderabad"/>
    <s v="Delhi Capitals"/>
    <s v="197/6 "/>
    <n v="20"/>
    <s v="188/6 "/>
    <n v="20"/>
    <x v="7"/>
    <s v="9 runs."/>
    <s v="League Matches"/>
    <n v="1"/>
    <n v="0"/>
    <s v="Delhi Capitals"/>
    <n v="0"/>
    <n v="1"/>
    <n v="1"/>
    <n v="0"/>
  </r>
  <r>
    <n v="41"/>
    <s v="MA Chidambaram Stadium,  Chennai"/>
    <s v="Chennai Super Kings"/>
    <s v="Punjab Kings"/>
    <s v="Chennai Super Kings "/>
    <s v="Punjab Kings"/>
    <s v="bat"/>
    <s v="Chennai Super Kings"/>
    <s v="Punjab Kings"/>
    <s v="200/4 "/>
    <n v="20"/>
    <s v="201/6 "/>
    <n v="20"/>
    <x v="1"/>
    <s v="4 wickets"/>
    <s v="League Matches"/>
    <n v="0"/>
    <n v="1"/>
    <s v="Chennai Super Kings"/>
    <n v="0"/>
    <n v="1"/>
    <n v="0"/>
    <n v="1"/>
  </r>
  <r>
    <n v="42"/>
    <s v="Wankhede Stadium,  Mumbai"/>
    <s v="Mumbai Indians"/>
    <s v="Rajasthan Royals"/>
    <s v="Rajasthan Royals "/>
    <s v="Mumbai Indians"/>
    <s v="bat"/>
    <s v="Rajasthan Royals"/>
    <s v="Mumbai Indians"/>
    <s v="212/7 "/>
    <n v="20"/>
    <s v="214/4 "/>
    <n v="19.3"/>
    <x v="8"/>
    <s v="6 wickets"/>
    <s v="League Matches"/>
    <n v="0"/>
    <n v="1"/>
    <s v="Mumbai Indians"/>
    <n v="1"/>
    <n v="0"/>
    <n v="0"/>
    <n v="1"/>
  </r>
  <r>
    <n v="43"/>
    <s v="Bharat Ratna Shri Atal Bihari Vajpayee Ekana Cricket Stadium,  Lucknow"/>
    <s v="Lucknow Super Giants"/>
    <s v="Royal Challengers Bangalore"/>
    <s v="Royal Challengers Bangalore "/>
    <s v="Lucknow Super Giants"/>
    <s v="bat"/>
    <s v="Royal Challengers Bangalore"/>
    <s v="Lucknow Super Giants"/>
    <s v="126/9 "/>
    <n v="20"/>
    <s v="108/10 "/>
    <n v="19.5"/>
    <x v="4"/>
    <s v="18 runs."/>
    <s v="League Matches"/>
    <n v="1"/>
    <n v="0"/>
    <s v="Lucknow Super Giants"/>
    <n v="0"/>
    <n v="1"/>
    <n v="1"/>
    <n v="0"/>
  </r>
  <r>
    <n v="44"/>
    <s v="Narendra Modi Stadium,  Ahmedabad"/>
    <s v="Gujarat Titans"/>
    <s v="Delhi Capitals"/>
    <s v="Delhi Capitals "/>
    <s v="Gujarat Titans"/>
    <s v="bat"/>
    <s v="Delhi Capitals"/>
    <s v="Gujarat Titans"/>
    <s v="130/8 "/>
    <n v="20"/>
    <s v="125/6 "/>
    <n v="20"/>
    <x v="9"/>
    <s v="5 runs."/>
    <s v="League Matches"/>
    <n v="1"/>
    <n v="0"/>
    <s v="Gujarat Titans"/>
    <n v="0"/>
    <n v="1"/>
    <n v="1"/>
    <n v="0"/>
  </r>
  <r>
    <n v="45"/>
    <s v="Bharat Ratna Shri Atal Bihari Vajpayee Ekana Cricket Stadium,  Lucknow"/>
    <s v="Lucknow Super Giants"/>
    <s v="Chennai Super Kings"/>
    <s v="Chennai Super Kings "/>
    <s v="Lucknow Super Giants"/>
    <s v="bowl"/>
    <s v="Lucknow Super Giants"/>
    <s v="Chennai Super Kings"/>
    <s v="*125/7 "/>
    <n v="19.2"/>
    <s v=""/>
    <m/>
    <x v="10"/>
    <s v=""/>
    <s v="League Matches"/>
    <n v="0"/>
    <n v="0"/>
    <s v="Lucknow Super Giants"/>
    <n v="0"/>
    <n v="0"/>
    <n v="0"/>
    <n v="0"/>
  </r>
  <r>
    <n v="46"/>
    <s v="Punjab Cricket Association IS Bindra Stadium,  Mohali,  Chandigarh"/>
    <s v="Punjab Kings"/>
    <s v="Mumbai Indians"/>
    <s v="Mumbai Indians "/>
    <s v="Punjab Kings"/>
    <s v="bowl"/>
    <s v="Punjab Kings"/>
    <s v="Mumbai Indians"/>
    <s v="214/3 "/>
    <n v="20"/>
    <s v="216/4 "/>
    <n v="18.5"/>
    <x v="8"/>
    <s v="6 wickets"/>
    <s v="League Matches"/>
    <n v="1"/>
    <n v="0"/>
    <s v="Punjab Kings"/>
    <n v="0"/>
    <n v="1"/>
    <n v="0"/>
    <n v="1"/>
  </r>
  <r>
    <n v="47"/>
    <s v="Rajiv Gandhi International Stadium,  Uppal,  Hyderabad"/>
    <s v="Sunrisers Hyderabad"/>
    <s v="Kolkata Knight Riders"/>
    <s v="Kolkata Knight Riders "/>
    <s v="Sunrisers Hyderabad"/>
    <s v="bat"/>
    <s v="Kolkata Knight Riders"/>
    <s v="Sunrisers Hyderabad"/>
    <s v="171/9 "/>
    <n v="20"/>
    <s v="166/8 "/>
    <n v="20"/>
    <x v="6"/>
    <s v="5 runs."/>
    <s v="League Matches"/>
    <n v="1"/>
    <n v="0"/>
    <s v="Sunrisers Hyderabad"/>
    <n v="0"/>
    <n v="1"/>
    <n v="1"/>
    <n v="0"/>
  </r>
  <r>
    <n v="48"/>
    <s v="Sawai Mansingh Stadium,  Jaipur"/>
    <s v="Rajasthan Royals"/>
    <s v="Gujarat Titans"/>
    <s v="Rajasthan Royals "/>
    <s v="Gujarat Titans"/>
    <s v="bat"/>
    <s v="Rajasthan Royals"/>
    <s v="Gujarat Titans"/>
    <s v="118/10 "/>
    <n v="17.5"/>
    <s v="119/1 "/>
    <n v="13.5"/>
    <x v="0"/>
    <s v="9 wickets"/>
    <s v="League Matches"/>
    <n v="0"/>
    <n v="1"/>
    <s v="Rajasthan Royals"/>
    <n v="0"/>
    <n v="1"/>
    <n v="0"/>
    <n v="1"/>
  </r>
  <r>
    <n v="49"/>
    <s v="MA Chidambaram Stadium,  Chennai"/>
    <s v="Chennai Super Kings"/>
    <s v="Mumbai Indians"/>
    <s v="Chennai Super Kings "/>
    <s v="Mumbai Indians"/>
    <s v="bowl"/>
    <s v="Mumbai Indians"/>
    <s v="Chennai Super Kings"/>
    <s v="139/8 "/>
    <n v="20"/>
    <s v="140/4 "/>
    <n v="17.399999999999999"/>
    <x v="5"/>
    <s v="6 wickets"/>
    <s v="League Matches"/>
    <n v="1"/>
    <n v="0"/>
    <s v="Chennai Super Kings"/>
    <n v="1"/>
    <n v="0"/>
    <n v="0"/>
    <n v="1"/>
  </r>
  <r>
    <n v="50"/>
    <s v="Arun Jaitley Stadium,  Delhi"/>
    <s v="Delhi Capitals"/>
    <s v="Royal Challengers Bangalore"/>
    <s v="Royal Challengers Bangalore "/>
    <s v="Delhi Capitals"/>
    <s v="bat"/>
    <s v="Royal Challengers Bangalore"/>
    <s v="Delhi Capitals"/>
    <s v="181/4 "/>
    <n v="20"/>
    <s v="187/3 "/>
    <n v="16.399999999999999"/>
    <x v="9"/>
    <s v="7 wickets"/>
    <s v="League Matches"/>
    <n v="0"/>
    <n v="1"/>
    <s v="Delhi Capitals"/>
    <n v="1"/>
    <n v="0"/>
    <n v="0"/>
    <n v="1"/>
  </r>
  <r>
    <n v="51"/>
    <s v="Narendra Modi Stadium,  Ahmedabad"/>
    <s v="Gujarat Titans"/>
    <s v="Lucknow Super Giants"/>
    <s v="Lucknow Super Giants "/>
    <s v="Gujarat Titans"/>
    <s v="bowl"/>
    <s v="Gujarat Titans"/>
    <s v="Lucknow Super Giants"/>
    <s v="227/2 "/>
    <n v="20"/>
    <s v="171/7 "/>
    <n v="20"/>
    <x v="0"/>
    <s v="56 runs."/>
    <s v="League Matches"/>
    <n v="0"/>
    <n v="1"/>
    <s v="Gujarat Titans"/>
    <n v="1"/>
    <n v="0"/>
    <n v="1"/>
    <n v="0"/>
  </r>
  <r>
    <n v="52"/>
    <s v="Sawai Mansingh Stadium,  Jaipur"/>
    <s v="Rajasthan Royals"/>
    <s v="Sunrisers Hyderabad"/>
    <s v="Rajasthan Royals "/>
    <s v="Sunrisers Hyderabad"/>
    <s v="bat"/>
    <s v="Rajasthan Royals"/>
    <s v="Sunrisers Hyderabad"/>
    <s v="214/2 "/>
    <n v="20"/>
    <s v="217/6 "/>
    <n v="20"/>
    <x v="7"/>
    <s v="4 wickets"/>
    <s v="League Matches"/>
    <n v="0"/>
    <n v="1"/>
    <s v="Rajasthan Royals"/>
    <n v="0"/>
    <n v="1"/>
    <n v="0"/>
    <n v="1"/>
  </r>
  <r>
    <n v="53"/>
    <s v="Eden Gardens,  Kolkata"/>
    <s v="Kolkata Knight Riders"/>
    <s v="Punjab Kings"/>
    <s v="Punjab Kings "/>
    <s v="Kolkata Knight Riders"/>
    <s v="bat"/>
    <s v="Punjab Kings"/>
    <s v="Kolkata Knight Riders"/>
    <s v="179/7 "/>
    <n v="20"/>
    <s v="182/5 "/>
    <n v="20"/>
    <x v="6"/>
    <s v="5 wickets"/>
    <s v="League Matches"/>
    <n v="0"/>
    <n v="1"/>
    <s v="Kolkata Knight Riders"/>
    <n v="1"/>
    <n v="0"/>
    <n v="0"/>
    <n v="1"/>
  </r>
  <r>
    <n v="54"/>
    <s v="Wankhede Stadium,  Mumbai"/>
    <s v="Mumbai Indians"/>
    <s v="Royal Challengers Bangalore"/>
    <s v="Mumbai Indians "/>
    <s v="Royal Challengers Bangalore"/>
    <s v="bowl"/>
    <s v="Royal Challengers Bangalore"/>
    <s v="Mumbai Indians"/>
    <s v="199/6 "/>
    <n v="20"/>
    <s v="200/4 "/>
    <n v="16.3"/>
    <x v="8"/>
    <s v="6 wickets"/>
    <s v="League Matches"/>
    <n v="1"/>
    <n v="0"/>
    <s v="Mumbai Indians"/>
    <n v="1"/>
    <n v="0"/>
    <n v="0"/>
    <n v="1"/>
  </r>
  <r>
    <n v="55"/>
    <s v="MA Chidambaram Stadium,  Chennai"/>
    <s v="Chennai Super Kings"/>
    <s v="Delhi Capitals"/>
    <s v="Chennai Super Kings "/>
    <s v="Delhi Capitals"/>
    <s v="bat"/>
    <s v="Chennai Super Kings"/>
    <s v="Delhi Capitals"/>
    <s v="167/8 "/>
    <n v="20"/>
    <s v="140/8 "/>
    <n v="20"/>
    <x v="5"/>
    <s v="27 runs."/>
    <s v="League Matches"/>
    <n v="1"/>
    <n v="0"/>
    <s v="Chennai Super Kings"/>
    <n v="1"/>
    <n v="0"/>
    <n v="1"/>
    <n v="0"/>
  </r>
  <r>
    <n v="56"/>
    <s v="Eden Gardens,  Kolkata"/>
    <s v="Kolkata Knight Riders"/>
    <s v="Rajasthan Royals"/>
    <s v="Rajasthan Royals "/>
    <s v="Kolkata Knight Riders"/>
    <s v="bowl"/>
    <s v="Kolkata Knight Riders"/>
    <s v="Rajasthan Royals"/>
    <s v="149/8 "/>
    <n v="20"/>
    <s v="151/1 "/>
    <n v="13.1"/>
    <x v="3"/>
    <s v="9 wickets"/>
    <s v="League Matches"/>
    <n v="1"/>
    <n v="0"/>
    <s v="Kolkata Knight Riders"/>
    <n v="0"/>
    <n v="1"/>
    <n v="0"/>
    <n v="1"/>
  </r>
  <r>
    <n v="57"/>
    <s v="Wankhede Stadium,  Mumbai"/>
    <s v="Mumbai Indians"/>
    <s v="Gujarat Titans"/>
    <s v="Gujarat Titans "/>
    <s v="Mumbai Indians"/>
    <s v="bowl"/>
    <s v="Mumbai Indians"/>
    <s v="Gujarat Titans"/>
    <s v="218/5 "/>
    <n v="20"/>
    <s v="191/8 "/>
    <n v="20"/>
    <x v="8"/>
    <s v="27 runs."/>
    <s v="League Matches"/>
    <n v="0"/>
    <n v="1"/>
    <s v="Mumbai Indians"/>
    <n v="1"/>
    <n v="0"/>
    <n v="1"/>
    <n v="0"/>
  </r>
  <r>
    <n v="58"/>
    <s v="Rajiv Gandhi International Stadium,  Uppal,  Hyderabad"/>
    <s v="Sunrisers Hyderabad"/>
    <s v="Lucknow Super Giants"/>
    <s v="Sunrisers Hyderabad "/>
    <s v="Lucknow Super Giants"/>
    <s v="bat"/>
    <s v="Sunrisers Hyderabad"/>
    <s v="Lucknow Super Giants"/>
    <s v="182/6 "/>
    <n v="20"/>
    <s v="185/3 "/>
    <n v="19.2"/>
    <x v="2"/>
    <s v="7 wickets"/>
    <s v="League Matches"/>
    <n v="0"/>
    <n v="1"/>
    <s v="Sunrisers Hyderabad"/>
    <n v="0"/>
    <n v="1"/>
    <n v="0"/>
    <n v="1"/>
  </r>
  <r>
    <n v="59"/>
    <s v="Arun Jaitley Stadium,  Delhi"/>
    <s v="Delhi Capitals"/>
    <s v="Punjab Kings"/>
    <s v="Delhi Capitals "/>
    <s v="Punjab Kings"/>
    <s v="bowl"/>
    <s v="Punjab Kings"/>
    <s v="Delhi Capitals"/>
    <s v="167/7 "/>
    <n v="20"/>
    <s v="136/8 "/>
    <n v="20"/>
    <x v="1"/>
    <s v="31 runs."/>
    <s v="League Matches"/>
    <n v="0"/>
    <n v="1"/>
    <s v="Delhi Capitals"/>
    <n v="0"/>
    <n v="1"/>
    <n v="1"/>
    <n v="0"/>
  </r>
  <r>
    <n v="60"/>
    <s v="Sawai Mansingh Stadium,  Jaipur"/>
    <s v="Rajasthan Royals"/>
    <s v="Royal Challengers Bangalore"/>
    <s v="Royal Challengers Bangalore "/>
    <s v="Rajasthan Royals"/>
    <s v="bat"/>
    <s v="Royal Challengers Bangalore"/>
    <s v="Rajasthan Royals"/>
    <s v="171/5 "/>
    <n v="20"/>
    <s v="59/10 "/>
    <n v="10.3"/>
    <x v="4"/>
    <s v="112 runs."/>
    <s v="League Matches"/>
    <n v="1"/>
    <n v="0"/>
    <s v="Rajasthan Royals"/>
    <n v="0"/>
    <n v="1"/>
    <n v="1"/>
    <n v="0"/>
  </r>
  <r>
    <n v="61"/>
    <s v="MA Chidambaram Stadium,  Chennai"/>
    <s v="Chennai Super Kings"/>
    <s v="Kolkata Knight Riders"/>
    <s v="Chennai Super Kings "/>
    <s v="Kolkata Knight Riders"/>
    <s v="bat"/>
    <s v="Chennai Super Kings"/>
    <s v="Kolkata Knight Riders"/>
    <s v="144/6 "/>
    <n v="20"/>
    <s v="147/4 "/>
    <n v="18.3"/>
    <x v="6"/>
    <s v="6 wickets"/>
    <s v="League Matches"/>
    <n v="0"/>
    <n v="1"/>
    <s v="Chennai Super Kings"/>
    <n v="0"/>
    <n v="1"/>
    <n v="0"/>
    <n v="1"/>
  </r>
  <r>
    <n v="62"/>
    <s v="Narendra Modi Stadium,  Ahmedabad"/>
    <s v="Gujarat Titans"/>
    <s v="Sunrisers Hyderabad"/>
    <s v="Sunrisers Hyderabad "/>
    <s v="Gujarat Titans"/>
    <s v="bowl"/>
    <s v="Gujarat Titans"/>
    <s v="Sunrisers Hyderabad"/>
    <s v="188/9 "/>
    <n v="20"/>
    <s v="154/9 "/>
    <n v="20"/>
    <x v="0"/>
    <s v="34 runs."/>
    <s v="League Matches"/>
    <n v="0"/>
    <n v="1"/>
    <s v="Gujarat Titans"/>
    <n v="1"/>
    <n v="0"/>
    <n v="1"/>
    <n v="0"/>
  </r>
  <r>
    <n v="63"/>
    <s v="Bharat Ratna Shri Atal Bihari Vajpayee Ekana Cricket Stadium,  Lucknow"/>
    <s v="Mumbai Indians"/>
    <s v="Lucknow Super Giants"/>
    <s v="Mumbai Indians "/>
    <s v="Lucknow Super Giants"/>
    <s v="bowl"/>
    <s v="Lucknow Super Giants"/>
    <s v="Mumbai Indians"/>
    <s v="177/3 "/>
    <n v="20"/>
    <s v="172/5 "/>
    <n v="20"/>
    <x v="2"/>
    <s v="5 runs."/>
    <s v="League Matches"/>
    <n v="0"/>
    <n v="1"/>
    <s v="Lucknow Super Giants"/>
    <n v="1"/>
    <n v="0"/>
    <n v="1"/>
    <n v="0"/>
  </r>
  <r>
    <n v="64"/>
    <s v="Himachal Pradesh Cricket Association Stadium,Dharamsala"/>
    <s v="Delhi Capitals"/>
    <s v="Punjab Kings"/>
    <s v="Punjab Kings "/>
    <s v="Delhi Capitals"/>
    <s v="bowl"/>
    <s v="Delhi Capitals"/>
    <s v="Punjab Kings"/>
    <s v="213/2"/>
    <n v="20"/>
    <s v="198/8"/>
    <n v="20"/>
    <x v="9"/>
    <s v="15 runs"/>
    <s v="League Matches"/>
    <n v="0"/>
    <n v="1"/>
    <s v="Punjab Kings"/>
    <n v="0"/>
    <n v="1"/>
    <n v="1"/>
    <n v="0"/>
  </r>
  <r>
    <n v="65"/>
    <s v="Rajiv Gandhi International Stadium,  Uppal,  Hyderabad"/>
    <s v="Sunrisers Hyderabad"/>
    <s v="Royal Challengers Bangalore"/>
    <s v="Royal Challengers Bangalore "/>
    <s v="Sunrisers Hyderabad"/>
    <s v="bowl"/>
    <s v="Sunrisers Hyderabad"/>
    <s v="Royal Challengers Bangalore"/>
    <s v="186/5"/>
    <n v="20"/>
    <s v="187/2"/>
    <n v="20"/>
    <x v="4"/>
    <s v="8 wickets"/>
    <s v="League Matches"/>
    <n v="1"/>
    <n v="0"/>
    <s v="Sunrisers Hyderabad"/>
    <n v="0"/>
    <n v="1"/>
    <n v="0"/>
    <n v="1"/>
  </r>
  <r>
    <n v="66"/>
    <s v="Himachal Pradesh Cricket Association Stadium,Dharamsala"/>
    <s v="Punjab Kings"/>
    <s v="Rajasthan Royals"/>
    <s v="Rajasthan Royals "/>
    <s v="Punjab Kings"/>
    <s v="bowl"/>
    <s v="Punjab Kings"/>
    <s v="Rajasthan Royals"/>
    <s v="187/5"/>
    <n v="20"/>
    <s v="189/6"/>
    <n v="19.399999999999999"/>
    <x v="3"/>
    <s v="4 wickets"/>
    <s v="League Matches"/>
    <n v="1"/>
    <n v="0"/>
    <s v="Punjab Kings"/>
    <n v="0"/>
    <n v="1"/>
    <n v="0"/>
    <n v="1"/>
  </r>
  <r>
    <n v="67"/>
    <s v="Arun Jaitley Stadium,  Delhi"/>
    <s v="Chennai Super Kings"/>
    <s v="Delhi Capitals"/>
    <s v="Chennai Super Kings "/>
    <s v="Delhi Capitals"/>
    <s v="bat"/>
    <s v="Chennai Super Kings"/>
    <s v="Delhi Capitals"/>
    <s v="223/3"/>
    <n v="20"/>
    <s v="146/9"/>
    <n v="20"/>
    <x v="5"/>
    <s v="77 runs"/>
    <s v="League Matches"/>
    <n v="1"/>
    <n v="0"/>
    <s v="Delhi Capitals"/>
    <n v="0"/>
    <n v="1"/>
    <n v="1"/>
    <n v="0"/>
  </r>
  <r>
    <n v="68"/>
    <s v="Eden Gardens,  Kolkata"/>
    <s v="Kolkata Knight Riders"/>
    <s v="Lucknow Super Giants"/>
    <s v="Kolkata Knight Riders "/>
    <s v="Lucknow Super Giants"/>
    <s v="bowl"/>
    <s v="Lucknow Super Giants"/>
    <s v="Kolkata Knight Riders"/>
    <s v="176/8"/>
    <n v="20"/>
    <s v="175/7"/>
    <n v="20"/>
    <x v="2"/>
    <s v="1 runs"/>
    <s v="League Matches"/>
    <n v="0"/>
    <n v="1"/>
    <s v="Kolkata Knight Riders"/>
    <n v="0"/>
    <n v="1"/>
    <n v="1"/>
    <n v="0"/>
  </r>
  <r>
    <n v="69"/>
    <s v="Wankhede Stadium,  Mumbai"/>
    <s v="Mumbai Indians"/>
    <s v="Sunrisers Hyderabad"/>
    <s v="Mumbai Indians "/>
    <s v="Sunrisers Hyderabad"/>
    <s v="bowl"/>
    <s v="Sunrisers Hyderabad"/>
    <s v="Mumbai Indians"/>
    <s v="200/5"/>
    <n v="20"/>
    <s v="201/2"/>
    <n v="20"/>
    <x v="8"/>
    <s v="8 Wickets"/>
    <s v="League Matches"/>
    <n v="1"/>
    <n v="0"/>
    <s v="Mumbai Indians"/>
    <n v="1"/>
    <n v="0"/>
    <n v="0"/>
    <n v="1"/>
  </r>
  <r>
    <n v="70"/>
    <s v="M.Chinnaswamy Stadium,  Bengaluru"/>
    <s v="Royal Challengers Bangalore"/>
    <s v="Gujarat Titans"/>
    <s v="Gujarat Titans "/>
    <s v="Royal Challengers Bangalore"/>
    <s v="bowl"/>
    <s v="Royal Challengers Bangalore"/>
    <s v="Gujarat Titans"/>
    <s v="197/5"/>
    <n v="20"/>
    <s v="198/4"/>
    <n v="19.100000000000001"/>
    <x v="0"/>
    <s v="6 Wickets"/>
    <s v="League Matches"/>
    <n v="1"/>
    <n v="0"/>
    <s v="Royal Challengers Bangalore"/>
    <n v="0"/>
    <n v="1"/>
    <n v="0"/>
    <n v="1"/>
  </r>
  <r>
    <n v="71"/>
    <s v="MA Chidambaram Stadium,  Chennai"/>
    <s v="Chennai Super Kings"/>
    <s v="Gujarat Titans"/>
    <s v="Gujarat Titans "/>
    <s v="Chennai Super Kings"/>
    <s v="bowl"/>
    <s v="Chennai Super Kings"/>
    <s v="Gujarat Titans"/>
    <s v="172/7"/>
    <n v="20"/>
    <s v="157/10"/>
    <n v="20"/>
    <x v="5"/>
    <s v="15 runs"/>
    <s v="Qualifyer 1"/>
    <n v="0"/>
    <n v="1"/>
    <s v="Chennai Super Kings"/>
    <s v="Blank"/>
    <s v="Blank"/>
    <n v="1"/>
    <n v="0"/>
  </r>
  <r>
    <n v="72"/>
    <s v="MA Chidambaram Stadium,  Chennai"/>
    <s v="Lucknow Super Giants"/>
    <s v="Mumbai Indians"/>
    <s v="Mumbai Indians "/>
    <s v="Lucknow Super Giants"/>
    <s v="bat"/>
    <s v="Mumbai Indians"/>
    <s v="Lucknow Super Giants"/>
    <s v="182/8"/>
    <n v="20"/>
    <s v="101/10"/>
    <n v="16.3"/>
    <x v="8"/>
    <s v="81 runs."/>
    <s v="Eliminator"/>
    <n v="1"/>
    <n v="0"/>
    <s v="Chennai Super Kings"/>
    <s v="Blank"/>
    <s v="Blank"/>
    <n v="1"/>
    <n v="0"/>
  </r>
  <r>
    <n v="73"/>
    <s v="Narendra Modi Stadium,  Ahmedabad"/>
    <s v="Gujarat Titans"/>
    <s v="Mumbai Indians"/>
    <s v="Mumbai Indians "/>
    <s v="Gujarat Titans"/>
    <s v="bowl"/>
    <s v="Gujarat Titans"/>
    <s v="Mumbai Indians"/>
    <s v="233/3"/>
    <n v="20"/>
    <s v="171/10"/>
    <n v="18.2"/>
    <x v="0"/>
    <s v="62 runs"/>
    <s v="Qualifyer 2"/>
    <n v="0"/>
    <n v="1"/>
    <s v="Gujarat Titans"/>
    <s v="Blank"/>
    <s v="Blank"/>
    <n v="1"/>
    <n v="0"/>
  </r>
  <r>
    <n v="74"/>
    <s v="Narendra Modi Stadium,  Ahmedabad"/>
    <s v="Chennai Super Kings"/>
    <s v="Gujarat Titans"/>
    <s v="Chennai Super Kings "/>
    <s v="Gujarat Titans"/>
    <s v="bowl"/>
    <s v="Gujarat Titans"/>
    <s v="Chennai Super Kings"/>
    <s v="214/4"/>
    <n v="20"/>
    <s v="171/5"/>
    <n v="15"/>
    <x v="5"/>
    <s v="5 wickets(DLS)"/>
    <s v="Finale"/>
    <n v="1"/>
    <n v="0"/>
    <s v="Gujarat Titans"/>
    <s v="Blank"/>
    <s v="Blank"/>
    <n v="0"/>
    <n v="1"/>
  </r>
  <r>
    <m/>
    <m/>
    <m/>
    <m/>
    <m/>
    <m/>
    <m/>
    <m/>
    <m/>
    <m/>
    <m/>
    <m/>
    <m/>
    <x v="11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3" cacheId="16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6" rowHeaderCaption="Row Lbels">
  <location ref="I5:K16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5"/>
        <item x="9"/>
        <item x="0"/>
        <item x="6"/>
        <item x="2"/>
        <item h="1" x="10"/>
        <item x="8"/>
        <item x="1"/>
        <item x="3"/>
        <item x="4"/>
        <item x="7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Batting First Win" fld="21" baseField="13" baseItem="0"/>
    <dataField name="Bowling First Win" fld="22" baseField="13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1" cacheId="16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3" rowHeaderCaption="Row Lbels">
  <location ref="A3:C14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5"/>
        <item x="9"/>
        <item x="0"/>
        <item x="6"/>
        <item x="2"/>
        <item h="1" x="10"/>
        <item x="8"/>
        <item x="1"/>
        <item x="3"/>
        <item x="4"/>
        <item x="7"/>
        <item h="1"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me Win" fld="19" baseField="13" baseItem="0"/>
    <dataField name="Sum of Away Win" fld="20" baseField="13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9" cacheId="16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6" rowHeaderCaption="Row Lbels">
  <location ref="E4:G15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5"/>
        <item x="9"/>
        <item x="0"/>
        <item x="6"/>
        <item x="2"/>
        <item h="1" x="10"/>
        <item x="8"/>
        <item x="1"/>
        <item x="3"/>
        <item x="4"/>
        <item x="7"/>
        <item h="1" x="1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ss Impact" fld="16" baseField="0" baseItem="0"/>
    <dataField name="Sum of Toss Loose" fld="17" baseField="0" baseItem="0"/>
  </dataFields>
  <chartFormats count="2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6" cacheId="16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rowHeaderCaption="Row Lbels">
  <location ref="E19:F30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3">
        <item x="5"/>
        <item x="9"/>
        <item x="0"/>
        <item x="6"/>
        <item x="2"/>
        <item h="1" x="10"/>
        <item x="8"/>
        <item x="1"/>
        <item x="3"/>
        <item x="4"/>
        <item x="7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1">
    <i>
      <x v="2"/>
    </i>
    <i>
      <x/>
    </i>
    <i>
      <x v="6"/>
    </i>
    <i>
      <x v="4"/>
    </i>
    <i>
      <x v="9"/>
    </i>
    <i>
      <x v="8"/>
    </i>
    <i>
      <x v="3"/>
    </i>
    <i>
      <x v="7"/>
    </i>
    <i>
      <x v="1"/>
    </i>
    <i>
      <x v="10"/>
    </i>
    <i t="grand">
      <x/>
    </i>
  </rowItems>
  <colItems count="1">
    <i/>
  </colItems>
  <dataFields count="1">
    <dataField name="Count of Winning Team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5" cacheId="16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5" rowHeaderCaption="Row Lbels">
  <location ref="B19:C30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3">
        <item x="5"/>
        <item x="9"/>
        <item x="0"/>
        <item x="6"/>
        <item x="2"/>
        <item h="1" x="10"/>
        <item x="8"/>
        <item x="1"/>
        <item x="3"/>
        <item x="4"/>
        <item x="7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1">
    <i>
      <x v="2"/>
    </i>
    <i>
      <x/>
    </i>
    <i>
      <x v="6"/>
    </i>
    <i>
      <x v="4"/>
    </i>
    <i>
      <x v="9"/>
    </i>
    <i>
      <x v="8"/>
    </i>
    <i>
      <x v="3"/>
    </i>
    <i>
      <x v="7"/>
    </i>
    <i>
      <x v="1"/>
    </i>
    <i>
      <x v="10"/>
    </i>
    <i t="grand">
      <x/>
    </i>
  </rowItems>
  <colItems count="1">
    <i/>
  </colItems>
  <dataFields count="1">
    <dataField name="Count of Winning Team" fld="13" subtotal="count" showDataAs="percentOfTotal" baseField="0" baseItem="0" numFmtId="10"/>
  </dataFields>
  <chartFormats count="1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24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4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24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24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24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4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300-000000000000}" autoFormatId="16" applyNumberFormats="0" applyBorderFormats="0" applyFontFormats="1" applyPatternFormats="1" applyAlignmentFormats="0" applyWidthHeightFormats="0">
  <queryTableRefresh nextId="3">
    <queryTableFields count="2">
      <queryTableField id="1" name="Team" tableColumnId="1"/>
      <queryTableField id="2" name="Stadium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E36:H46" totalsRowShown="0">
  <autoFilter ref="E36:H46" xr:uid="{00000000-0009-0000-0100-000004000000}"/>
  <tableColumns count="4">
    <tableColumn id="1" xr3:uid="{00000000-0010-0000-0000-000001000000}" name="Team" dataDxfId="4"/>
    <tableColumn id="2" xr3:uid="{00000000-0010-0000-0000-000002000000}" name="Wins" dataDxfId="3"/>
    <tableColumn id="3" xr3:uid="{00000000-0010-0000-0000-000003000000}" name="Matches"/>
    <tableColumn id="4" xr3:uid="{00000000-0010-0000-0000-000004000000}" name="Win%" dataDxfId="2">
      <calculatedColumnFormula>F37/G37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4" displayName="Table_4" ref="A1:B13" tableType="queryTable" totalsRowShown="0">
  <autoFilter ref="A1:B13" xr:uid="{00000000-0009-0000-0100-000001000000}"/>
  <tableColumns count="2">
    <tableColumn id="1" xr3:uid="{00000000-0010-0000-0100-000001000000}" uniqueName="1" name="Team" queryTableFieldId="1" dataDxfId="1"/>
    <tableColumn id="2" xr3:uid="{00000000-0010-0000-0100-000002000000}" uniqueName="2" name="Stadium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12" sqref="F12"/>
    </sheetView>
  </sheetViews>
  <sheetFormatPr defaultColWidth="9" defaultRowHeight="14.4"/>
  <cols>
    <col min="1" max="1" width="16.109375" customWidth="1"/>
    <col min="2" max="2" width="31.88671875" customWidth="1"/>
    <col min="3" max="3" width="24.33203125" customWidth="1"/>
    <col min="4" max="4" width="19" customWidth="1"/>
    <col min="5" max="5" width="24.77734375" customWidth="1"/>
    <col min="6" max="6" width="19" customWidth="1"/>
    <col min="7" max="7" width="14.33203125" customWidth="1"/>
    <col min="8" max="8" width="18" customWidth="1"/>
    <col min="9" max="9" width="24.33203125" customWidth="1"/>
    <col min="10" max="10" width="18.44140625" customWidth="1"/>
    <col min="11" max="11" width="20.5546875" customWidth="1"/>
    <col min="12" max="12" width="21.33203125" customWidth="1"/>
    <col min="13" max="13" width="23.33203125" customWidth="1"/>
    <col min="14" max="14" width="17.33203125" customWidth="1"/>
    <col min="15" max="15" width="12.6640625" customWidth="1"/>
    <col min="16" max="16" width="14.33203125" customWidth="1"/>
    <col min="17" max="17" width="13.21875" customWidth="1"/>
    <col min="18" max="18" width="12.21875" customWidth="1"/>
    <col min="19" max="19" width="24.33203125" customWidth="1"/>
    <col min="20" max="20" width="12" customWidth="1"/>
    <col min="21" max="21" width="11.6640625" customWidth="1"/>
    <col min="22" max="22" width="13.109375" customWidth="1"/>
    <col min="23" max="23" width="13.77734375" customWidth="1"/>
  </cols>
  <sheetData>
    <row r="1" spans="1:1">
      <c r="A1" s="3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57"/>
  <sheetViews>
    <sheetView topLeftCell="A22" workbookViewId="0">
      <selection activeCell="H18" sqref="H18"/>
    </sheetView>
  </sheetViews>
  <sheetFormatPr defaultColWidth="9" defaultRowHeight="14.4"/>
  <cols>
    <col min="1" max="1" width="24.33203125" customWidth="1"/>
    <col min="2" max="2" width="24.33203125" bestFit="1" customWidth="1"/>
    <col min="3" max="3" width="21.109375" bestFit="1" customWidth="1"/>
    <col min="5" max="5" width="24.33203125" customWidth="1"/>
    <col min="6" max="6" width="21.109375" bestFit="1" customWidth="1"/>
    <col min="7" max="7" width="16.5546875" customWidth="1"/>
    <col min="8" max="8" width="25.109375" customWidth="1"/>
    <col min="9" max="9" width="24.33203125" bestFit="1" customWidth="1"/>
    <col min="10" max="10" width="14.77734375" customWidth="1"/>
    <col min="11" max="11" width="15.44140625" bestFit="1" customWidth="1"/>
    <col min="12" max="13" width="14.5546875" customWidth="1"/>
  </cols>
  <sheetData>
    <row r="3" spans="1:11">
      <c r="A3" s="31" t="s">
        <v>0</v>
      </c>
      <c r="B3" t="s">
        <v>1</v>
      </c>
      <c r="C3" t="s">
        <v>2</v>
      </c>
    </row>
    <row r="4" spans="1:11">
      <c r="A4" s="20" t="s">
        <v>3</v>
      </c>
      <c r="B4" s="32">
        <v>4</v>
      </c>
      <c r="C4" s="32">
        <v>4</v>
      </c>
      <c r="E4" s="31" t="s">
        <v>0</v>
      </c>
      <c r="F4" t="s">
        <v>4</v>
      </c>
      <c r="G4" t="s">
        <v>5</v>
      </c>
    </row>
    <row r="5" spans="1:11">
      <c r="A5" s="20" t="s">
        <v>6</v>
      </c>
      <c r="B5" s="32">
        <v>2</v>
      </c>
      <c r="C5" s="32">
        <v>3</v>
      </c>
      <c r="E5" s="20" t="s">
        <v>3</v>
      </c>
      <c r="F5" s="32">
        <v>6</v>
      </c>
      <c r="G5" s="32">
        <v>4</v>
      </c>
      <c r="I5" s="31" t="s">
        <v>0</v>
      </c>
      <c r="J5" t="s">
        <v>7</v>
      </c>
      <c r="K5" t="s">
        <v>8</v>
      </c>
    </row>
    <row r="6" spans="1:11">
      <c r="A6" s="20" t="s">
        <v>9</v>
      </c>
      <c r="B6" s="32">
        <v>4</v>
      </c>
      <c r="C6" s="32">
        <v>6</v>
      </c>
      <c r="E6" s="20" t="s">
        <v>6</v>
      </c>
      <c r="F6" s="32">
        <v>3</v>
      </c>
      <c r="G6" s="32">
        <v>2</v>
      </c>
      <c r="I6" s="20" t="s">
        <v>3</v>
      </c>
      <c r="J6" s="32">
        <v>6</v>
      </c>
      <c r="K6" s="32">
        <v>4</v>
      </c>
    </row>
    <row r="7" spans="1:11">
      <c r="A7" s="20" t="s">
        <v>10</v>
      </c>
      <c r="B7" s="32">
        <v>2</v>
      </c>
      <c r="C7" s="32">
        <v>4</v>
      </c>
      <c r="E7" s="20" t="s">
        <v>9</v>
      </c>
      <c r="F7" s="32">
        <v>6</v>
      </c>
      <c r="G7" s="32">
        <v>5</v>
      </c>
      <c r="I7" s="20" t="s">
        <v>6</v>
      </c>
      <c r="J7" s="32">
        <v>3</v>
      </c>
      <c r="K7" s="32">
        <v>2</v>
      </c>
    </row>
    <row r="8" spans="1:11">
      <c r="A8" s="20" t="s">
        <v>11</v>
      </c>
      <c r="B8" s="32">
        <v>3</v>
      </c>
      <c r="C8" s="32">
        <v>5</v>
      </c>
      <c r="E8" s="20" t="s">
        <v>10</v>
      </c>
      <c r="F8" s="32">
        <v>1</v>
      </c>
      <c r="G8" s="32">
        <v>5</v>
      </c>
      <c r="I8" s="20" t="s">
        <v>9</v>
      </c>
      <c r="J8" s="32">
        <v>5</v>
      </c>
      <c r="K8" s="32">
        <v>6</v>
      </c>
    </row>
    <row r="9" spans="1:11">
      <c r="A9" s="20" t="s">
        <v>12</v>
      </c>
      <c r="B9" s="32">
        <v>5</v>
      </c>
      <c r="C9" s="32">
        <v>3</v>
      </c>
      <c r="E9" s="20" t="s">
        <v>11</v>
      </c>
      <c r="F9" s="32">
        <v>1</v>
      </c>
      <c r="G9" s="32">
        <v>7</v>
      </c>
      <c r="I9" s="20" t="s">
        <v>10</v>
      </c>
      <c r="J9" s="32">
        <v>3</v>
      </c>
      <c r="K9" s="32">
        <v>3</v>
      </c>
    </row>
    <row r="10" spans="1:11">
      <c r="A10" s="20" t="s">
        <v>13</v>
      </c>
      <c r="B10" s="32">
        <v>1</v>
      </c>
      <c r="C10" s="32">
        <v>5</v>
      </c>
      <c r="E10" s="20" t="s">
        <v>12</v>
      </c>
      <c r="F10" s="32">
        <v>6</v>
      </c>
      <c r="G10" s="32">
        <v>3</v>
      </c>
      <c r="I10" s="20" t="s">
        <v>11</v>
      </c>
      <c r="J10" s="32">
        <v>5</v>
      </c>
      <c r="K10" s="32">
        <v>3</v>
      </c>
    </row>
    <row r="11" spans="1:11">
      <c r="A11" s="20" t="s">
        <v>14</v>
      </c>
      <c r="B11" s="32">
        <v>2</v>
      </c>
      <c r="C11" s="32">
        <v>5</v>
      </c>
      <c r="E11" s="20" t="s">
        <v>13</v>
      </c>
      <c r="F11" s="32">
        <v>1</v>
      </c>
      <c r="G11" s="32">
        <v>5</v>
      </c>
      <c r="I11" s="20" t="s">
        <v>12</v>
      </c>
      <c r="J11" s="32">
        <v>3</v>
      </c>
      <c r="K11" s="32">
        <v>6</v>
      </c>
    </row>
    <row r="12" spans="1:11">
      <c r="A12" s="20" t="s">
        <v>15</v>
      </c>
      <c r="B12" s="32">
        <v>3</v>
      </c>
      <c r="C12" s="32">
        <v>4</v>
      </c>
      <c r="E12" s="20" t="s">
        <v>14</v>
      </c>
      <c r="F12" s="32">
        <v>4</v>
      </c>
      <c r="G12" s="32">
        <v>3</v>
      </c>
      <c r="I12" s="20" t="s">
        <v>13</v>
      </c>
      <c r="J12" s="32">
        <v>4</v>
      </c>
      <c r="K12" s="32">
        <v>2</v>
      </c>
    </row>
    <row r="13" spans="1:11">
      <c r="A13" s="20" t="s">
        <v>16</v>
      </c>
      <c r="B13" s="32">
        <v>1</v>
      </c>
      <c r="C13" s="32">
        <v>3</v>
      </c>
      <c r="E13" s="20" t="s">
        <v>15</v>
      </c>
      <c r="F13" s="32">
        <v>4</v>
      </c>
      <c r="G13" s="32">
        <v>3</v>
      </c>
      <c r="I13" s="20" t="s">
        <v>14</v>
      </c>
      <c r="J13" s="32">
        <v>4</v>
      </c>
      <c r="K13" s="32">
        <v>3</v>
      </c>
    </row>
    <row r="14" spans="1:11">
      <c r="A14" s="20" t="s">
        <v>17</v>
      </c>
      <c r="B14" s="32">
        <v>27</v>
      </c>
      <c r="C14" s="32">
        <v>42</v>
      </c>
      <c r="E14" s="20" t="s">
        <v>16</v>
      </c>
      <c r="F14" s="32">
        <v>2</v>
      </c>
      <c r="G14" s="32">
        <v>2</v>
      </c>
      <c r="I14" s="20" t="s">
        <v>15</v>
      </c>
      <c r="J14" s="32">
        <v>5</v>
      </c>
      <c r="K14" s="32">
        <v>2</v>
      </c>
    </row>
    <row r="15" spans="1:11">
      <c r="E15" s="20" t="s">
        <v>17</v>
      </c>
      <c r="F15" s="32">
        <v>34</v>
      </c>
      <c r="G15" s="32">
        <v>39</v>
      </c>
      <c r="I15" s="20" t="s">
        <v>16</v>
      </c>
      <c r="J15" s="32">
        <v>2</v>
      </c>
      <c r="K15" s="32">
        <v>2</v>
      </c>
    </row>
    <row r="16" spans="1:11">
      <c r="F16" s="21"/>
      <c r="G16" s="21"/>
      <c r="I16" s="20" t="s">
        <v>17</v>
      </c>
      <c r="J16" s="32">
        <v>40</v>
      </c>
      <c r="K16" s="32">
        <v>33</v>
      </c>
    </row>
    <row r="19" spans="2:6">
      <c r="B19" s="31" t="s">
        <v>0</v>
      </c>
      <c r="C19" t="s">
        <v>18</v>
      </c>
      <c r="E19" s="31" t="s">
        <v>0</v>
      </c>
      <c r="F19" t="s">
        <v>18</v>
      </c>
    </row>
    <row r="20" spans="2:6">
      <c r="B20" s="20" t="s">
        <v>9</v>
      </c>
      <c r="C20" s="22">
        <v>0.15068493150684931</v>
      </c>
      <c r="E20" s="20" t="s">
        <v>9</v>
      </c>
      <c r="F20" s="32">
        <v>11</v>
      </c>
    </row>
    <row r="21" spans="2:6">
      <c r="B21" s="20" t="s">
        <v>3</v>
      </c>
      <c r="C21" s="22">
        <v>0.13698630136986301</v>
      </c>
      <c r="E21" s="20" t="s">
        <v>3</v>
      </c>
      <c r="F21" s="32">
        <v>10</v>
      </c>
    </row>
    <row r="22" spans="2:6">
      <c r="B22" s="20" t="s">
        <v>12</v>
      </c>
      <c r="C22" s="22">
        <v>0.12328767123287671</v>
      </c>
      <c r="E22" s="20" t="s">
        <v>12</v>
      </c>
      <c r="F22" s="32">
        <v>9</v>
      </c>
    </row>
    <row r="23" spans="2:6">
      <c r="B23" s="20" t="s">
        <v>11</v>
      </c>
      <c r="C23" s="22">
        <v>0.1095890410958904</v>
      </c>
      <c r="E23" s="20" t="s">
        <v>11</v>
      </c>
      <c r="F23" s="32">
        <v>8</v>
      </c>
    </row>
    <row r="24" spans="2:6">
      <c r="B24" s="20" t="s">
        <v>15</v>
      </c>
      <c r="C24" s="22">
        <v>9.5890410958904104E-2</v>
      </c>
      <c r="E24" s="20" t="s">
        <v>15</v>
      </c>
      <c r="F24" s="32">
        <v>7</v>
      </c>
    </row>
    <row r="25" spans="2:6">
      <c r="B25" s="20" t="s">
        <v>14</v>
      </c>
      <c r="C25" s="22">
        <v>9.5890410958904104E-2</v>
      </c>
      <c r="E25" s="20" t="s">
        <v>14</v>
      </c>
      <c r="F25" s="32">
        <v>7</v>
      </c>
    </row>
    <row r="26" spans="2:6">
      <c r="B26" s="20" t="s">
        <v>10</v>
      </c>
      <c r="C26" s="22">
        <v>8.2191780821917804E-2</v>
      </c>
      <c r="E26" s="20" t="s">
        <v>10</v>
      </c>
      <c r="F26" s="32">
        <v>6</v>
      </c>
    </row>
    <row r="27" spans="2:6">
      <c r="B27" s="20" t="s">
        <v>13</v>
      </c>
      <c r="C27" s="22">
        <v>8.2191780821917804E-2</v>
      </c>
      <c r="E27" s="20" t="s">
        <v>13</v>
      </c>
      <c r="F27" s="32">
        <v>6</v>
      </c>
    </row>
    <row r="28" spans="2:6">
      <c r="B28" s="20" t="s">
        <v>6</v>
      </c>
      <c r="C28" s="22">
        <v>6.8493150684931503E-2</v>
      </c>
      <c r="E28" s="20" t="s">
        <v>6</v>
      </c>
      <c r="F28" s="32">
        <v>5</v>
      </c>
    </row>
    <row r="29" spans="2:6">
      <c r="B29" s="20" t="s">
        <v>16</v>
      </c>
      <c r="C29" s="22">
        <v>5.4794520547945202E-2</v>
      </c>
      <c r="E29" s="20" t="s">
        <v>16</v>
      </c>
      <c r="F29" s="32">
        <v>4</v>
      </c>
    </row>
    <row r="30" spans="2:6">
      <c r="B30" s="20" t="s">
        <v>17</v>
      </c>
      <c r="C30" s="22">
        <v>1</v>
      </c>
      <c r="E30" s="20" t="s">
        <v>17</v>
      </c>
      <c r="F30" s="32">
        <v>73</v>
      </c>
    </row>
    <row r="36" spans="1:8">
      <c r="E36" t="s">
        <v>19</v>
      </c>
      <c r="F36" t="s">
        <v>20</v>
      </c>
      <c r="G36" t="s">
        <v>21</v>
      </c>
      <c r="H36" t="s">
        <v>22</v>
      </c>
    </row>
    <row r="37" spans="1:8">
      <c r="E37" s="20" t="s">
        <v>9</v>
      </c>
      <c r="F37">
        <v>11</v>
      </c>
      <c r="G37">
        <v>17</v>
      </c>
      <c r="H37" s="23">
        <f t="shared" ref="H37:H46" si="0">F37/G37</f>
        <v>0.64705882352941202</v>
      </c>
    </row>
    <row r="38" spans="1:8">
      <c r="E38" s="20" t="s">
        <v>3</v>
      </c>
      <c r="F38">
        <v>10</v>
      </c>
      <c r="G38">
        <v>16</v>
      </c>
      <c r="H38" s="23">
        <f t="shared" si="0"/>
        <v>0.625</v>
      </c>
    </row>
    <row r="39" spans="1:8">
      <c r="E39" s="20" t="s">
        <v>12</v>
      </c>
      <c r="F39">
        <v>9</v>
      </c>
      <c r="G39">
        <v>16</v>
      </c>
      <c r="H39" s="23">
        <f t="shared" si="0"/>
        <v>0.5625</v>
      </c>
    </row>
    <row r="40" spans="1:8">
      <c r="E40" s="20" t="s">
        <v>11</v>
      </c>
      <c r="F40">
        <v>8</v>
      </c>
      <c r="G40">
        <v>15</v>
      </c>
      <c r="H40" s="23">
        <f t="shared" si="0"/>
        <v>0.53333333333333299</v>
      </c>
    </row>
    <row r="41" spans="1:8">
      <c r="E41" s="20" t="s">
        <v>14</v>
      </c>
      <c r="F41">
        <v>7</v>
      </c>
      <c r="G41">
        <v>14</v>
      </c>
      <c r="H41" s="23">
        <f t="shared" si="0"/>
        <v>0.5</v>
      </c>
    </row>
    <row r="42" spans="1:8">
      <c r="E42" s="20" t="s">
        <v>15</v>
      </c>
      <c r="F42">
        <v>7</v>
      </c>
      <c r="G42">
        <v>14</v>
      </c>
      <c r="H42" s="23">
        <f t="shared" si="0"/>
        <v>0.5</v>
      </c>
    </row>
    <row r="43" spans="1:8">
      <c r="E43" s="20" t="s">
        <v>10</v>
      </c>
      <c r="F43">
        <v>6</v>
      </c>
      <c r="G43">
        <v>14</v>
      </c>
      <c r="H43" s="23">
        <f t="shared" si="0"/>
        <v>0.42857142857142899</v>
      </c>
    </row>
    <row r="44" spans="1:8">
      <c r="E44" s="20" t="s">
        <v>13</v>
      </c>
      <c r="F44">
        <v>6</v>
      </c>
      <c r="G44">
        <v>14</v>
      </c>
      <c r="H44" s="23">
        <f t="shared" si="0"/>
        <v>0.42857142857142899</v>
      </c>
    </row>
    <row r="45" spans="1:8">
      <c r="E45" s="20" t="s">
        <v>6</v>
      </c>
      <c r="F45">
        <v>5</v>
      </c>
      <c r="G45">
        <v>14</v>
      </c>
      <c r="H45" s="23">
        <f t="shared" si="0"/>
        <v>0.35714285714285698</v>
      </c>
    </row>
    <row r="46" spans="1:8">
      <c r="E46" s="20" t="s">
        <v>16</v>
      </c>
      <c r="F46">
        <v>4</v>
      </c>
      <c r="G46">
        <v>14</v>
      </c>
      <c r="H46" s="23">
        <f t="shared" si="0"/>
        <v>0.28571428571428598</v>
      </c>
    </row>
    <row r="47" spans="1:8">
      <c r="A47" s="24" t="s">
        <v>19</v>
      </c>
      <c r="B47" s="25" t="s">
        <v>22</v>
      </c>
      <c r="E47" s="20"/>
    </row>
    <row r="48" spans="1:8">
      <c r="A48" s="26" t="s">
        <v>9</v>
      </c>
      <c r="B48" s="27">
        <v>0.65</v>
      </c>
    </row>
    <row r="49" spans="1:2">
      <c r="A49" s="28" t="s">
        <v>3</v>
      </c>
      <c r="B49" s="29">
        <v>0.63</v>
      </c>
    </row>
    <row r="50" spans="1:2">
      <c r="A50" s="26" t="s">
        <v>12</v>
      </c>
      <c r="B50" s="27">
        <v>0.56000000000000005</v>
      </c>
    </row>
    <row r="51" spans="1:2">
      <c r="A51" s="28" t="s">
        <v>11</v>
      </c>
      <c r="B51" s="29">
        <v>0.53</v>
      </c>
    </row>
    <row r="52" spans="1:2">
      <c r="A52" s="26" t="s">
        <v>14</v>
      </c>
      <c r="B52" s="27">
        <v>0.5</v>
      </c>
    </row>
    <row r="53" spans="1:2">
      <c r="A53" s="28" t="s">
        <v>15</v>
      </c>
      <c r="B53" s="29">
        <v>0.5</v>
      </c>
    </row>
    <row r="54" spans="1:2">
      <c r="A54" s="26" t="s">
        <v>10</v>
      </c>
      <c r="B54" s="27">
        <v>0.43</v>
      </c>
    </row>
    <row r="55" spans="1:2">
      <c r="A55" s="28" t="s">
        <v>13</v>
      </c>
      <c r="B55" s="29">
        <v>0.43</v>
      </c>
    </row>
    <row r="56" spans="1:2">
      <c r="A56" s="26" t="s">
        <v>6</v>
      </c>
      <c r="B56" s="27">
        <v>0.36</v>
      </c>
    </row>
    <row r="57" spans="1:2">
      <c r="A57" s="28" t="s">
        <v>16</v>
      </c>
      <c r="B57" s="29">
        <v>0.28999999999999998</v>
      </c>
    </row>
  </sheetData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"/>
  <sheetViews>
    <sheetView topLeftCell="O58" workbookViewId="0">
      <selection activeCell="U80" sqref="U80"/>
    </sheetView>
  </sheetViews>
  <sheetFormatPr defaultColWidth="9" defaultRowHeight="14.4"/>
  <cols>
    <col min="1" max="1" width="16.109375" customWidth="1"/>
    <col min="2" max="2" width="60.109375" customWidth="1"/>
    <col min="3" max="3" width="25.109375" customWidth="1"/>
    <col min="4" max="4" width="24.33203125" customWidth="1"/>
    <col min="5" max="6" width="26.33203125" customWidth="1"/>
    <col min="7" max="7" width="14.33203125" customWidth="1"/>
    <col min="8" max="8" width="22.77734375" customWidth="1"/>
    <col min="9" max="9" width="20.88671875" customWidth="1"/>
    <col min="10" max="10" width="18.44140625" customWidth="1"/>
    <col min="11" max="11" width="20.5546875" customWidth="1"/>
    <col min="12" max="12" width="21.33203125" customWidth="1"/>
    <col min="13" max="13" width="23.33203125" customWidth="1"/>
    <col min="14" max="14" width="26.5546875" customWidth="1"/>
    <col min="15" max="15" width="18.109375" customWidth="1"/>
    <col min="16" max="16" width="14.44140625" customWidth="1"/>
    <col min="17" max="17" width="24.5546875" customWidth="1"/>
    <col min="18" max="18" width="16.6640625" customWidth="1"/>
    <col min="19" max="19" width="25.109375" customWidth="1"/>
    <col min="20" max="20" width="12.77734375" customWidth="1"/>
    <col min="21" max="21" width="12.88671875" customWidth="1"/>
    <col min="22" max="22" width="27" customWidth="1"/>
    <col min="23" max="23" width="11.88671875" customWidth="1"/>
  </cols>
  <sheetData>
    <row r="1" spans="1:23">
      <c r="A1" s="2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10" t="s">
        <v>37</v>
      </c>
      <c r="P1" s="11" t="s">
        <v>38</v>
      </c>
      <c r="Q1" s="11" t="s">
        <v>39</v>
      </c>
      <c r="R1" s="11" t="s">
        <v>40</v>
      </c>
      <c r="S1" s="11" t="s">
        <v>41</v>
      </c>
      <c r="T1" s="11" t="s">
        <v>42</v>
      </c>
      <c r="U1" s="11" t="s">
        <v>43</v>
      </c>
      <c r="V1" s="11" t="s">
        <v>44</v>
      </c>
      <c r="W1" s="11" t="s">
        <v>45</v>
      </c>
    </row>
    <row r="2" spans="1:23">
      <c r="A2" s="4">
        <v>1</v>
      </c>
      <c r="B2" s="5" t="s">
        <v>46</v>
      </c>
      <c r="C2" s="5" t="s">
        <v>9</v>
      </c>
      <c r="D2" s="5" t="s">
        <v>3</v>
      </c>
      <c r="E2" s="5" t="s">
        <v>47</v>
      </c>
      <c r="F2" s="5" t="str">
        <f t="shared" ref="F2:F33" si="0">IF(TRIM(E2)=TRIM(C2),D2,C2)</f>
        <v>Chennai Super Kings</v>
      </c>
      <c r="G2" s="5" t="s">
        <v>48</v>
      </c>
      <c r="H2" s="5" t="s">
        <v>3</v>
      </c>
      <c r="I2" s="5" t="s">
        <v>9</v>
      </c>
      <c r="J2" s="5" t="s">
        <v>49</v>
      </c>
      <c r="K2" s="5">
        <v>20</v>
      </c>
      <c r="L2" s="5" t="s">
        <v>50</v>
      </c>
      <c r="M2" s="5">
        <v>19.2</v>
      </c>
      <c r="N2" s="5" t="s">
        <v>9</v>
      </c>
      <c r="O2" s="12" t="s">
        <v>51</v>
      </c>
      <c r="P2" s="13" t="s">
        <v>52</v>
      </c>
      <c r="Q2">
        <f t="shared" ref="Q2:Q33" si="1">IF(TRIM(E2)=TRIM(N2),1,0)</f>
        <v>1</v>
      </c>
      <c r="R2">
        <f t="shared" ref="R2:R33" si="2">IF(TRIM(F2)=TRIM(N2),1,0)</f>
        <v>0</v>
      </c>
      <c r="S2" t="s">
        <v>9</v>
      </c>
      <c r="T2">
        <f>IF(N2=S2,1,0)</f>
        <v>1</v>
      </c>
      <c r="U2">
        <f t="shared" ref="U2:U33" si="3">IF(N2&lt;&gt;S2,1,0)</f>
        <v>0</v>
      </c>
      <c r="V2">
        <f t="shared" ref="V2:V33" si="4">IF(H2=N2,1,0)</f>
        <v>0</v>
      </c>
      <c r="W2">
        <f t="shared" ref="W2:W33" si="5">IF(H2&lt;&gt;N2,1,0)</f>
        <v>1</v>
      </c>
    </row>
    <row r="3" spans="1:23">
      <c r="A3" s="6">
        <v>2</v>
      </c>
      <c r="B3" s="7" t="s">
        <v>53</v>
      </c>
      <c r="C3" s="7" t="s">
        <v>13</v>
      </c>
      <c r="D3" s="7" t="s">
        <v>10</v>
      </c>
      <c r="E3" s="7" t="s">
        <v>54</v>
      </c>
      <c r="F3" s="5" t="str">
        <f t="shared" si="0"/>
        <v>Punjab Kings</v>
      </c>
      <c r="G3" s="7" t="s">
        <v>48</v>
      </c>
      <c r="H3" s="7" t="s">
        <v>13</v>
      </c>
      <c r="I3" s="7" t="s">
        <v>10</v>
      </c>
      <c r="J3" s="7" t="s">
        <v>55</v>
      </c>
      <c r="K3" s="7">
        <v>20</v>
      </c>
      <c r="L3" s="7" t="s">
        <v>56</v>
      </c>
      <c r="M3" s="7">
        <v>16</v>
      </c>
      <c r="N3" s="7" t="s">
        <v>13</v>
      </c>
      <c r="O3" s="14" t="s">
        <v>57</v>
      </c>
      <c r="P3" s="13" t="s">
        <v>52</v>
      </c>
      <c r="Q3">
        <f t="shared" si="1"/>
        <v>0</v>
      </c>
      <c r="R3">
        <f t="shared" si="2"/>
        <v>1</v>
      </c>
      <c r="S3" t="s">
        <v>13</v>
      </c>
      <c r="T3">
        <f>IF(N3=S3,1,0)</f>
        <v>1</v>
      </c>
      <c r="U3">
        <f t="shared" si="3"/>
        <v>0</v>
      </c>
      <c r="V3">
        <f t="shared" si="4"/>
        <v>1</v>
      </c>
      <c r="W3">
        <f t="shared" si="5"/>
        <v>0</v>
      </c>
    </row>
    <row r="4" spans="1:23">
      <c r="A4" s="4">
        <v>3</v>
      </c>
      <c r="B4" s="5" t="s">
        <v>58</v>
      </c>
      <c r="C4" s="5" t="s">
        <v>11</v>
      </c>
      <c r="D4" s="5" t="s">
        <v>6</v>
      </c>
      <c r="E4" s="5" t="s">
        <v>59</v>
      </c>
      <c r="F4" s="5" t="str">
        <f t="shared" si="0"/>
        <v>Lucknow Super Giants</v>
      </c>
      <c r="G4" s="5" t="s">
        <v>48</v>
      </c>
      <c r="H4" s="5" t="s">
        <v>11</v>
      </c>
      <c r="I4" s="5" t="s">
        <v>6</v>
      </c>
      <c r="J4" s="5" t="s">
        <v>60</v>
      </c>
      <c r="K4" s="5">
        <v>20</v>
      </c>
      <c r="L4" s="5" t="s">
        <v>61</v>
      </c>
      <c r="M4" s="5">
        <v>20</v>
      </c>
      <c r="N4" s="5" t="s">
        <v>11</v>
      </c>
      <c r="O4" s="12" t="s">
        <v>62</v>
      </c>
      <c r="P4" s="13" t="s">
        <v>52</v>
      </c>
      <c r="Q4">
        <f t="shared" si="1"/>
        <v>0</v>
      </c>
      <c r="R4">
        <f t="shared" si="2"/>
        <v>1</v>
      </c>
      <c r="S4" t="s">
        <v>11</v>
      </c>
      <c r="T4">
        <f>IF(N4=S4,1,0)</f>
        <v>1</v>
      </c>
      <c r="U4">
        <f t="shared" si="3"/>
        <v>0</v>
      </c>
      <c r="V4">
        <f t="shared" si="4"/>
        <v>1</v>
      </c>
      <c r="W4">
        <f t="shared" si="5"/>
        <v>0</v>
      </c>
    </row>
    <row r="5" spans="1:23">
      <c r="A5" s="6">
        <v>4</v>
      </c>
      <c r="B5" s="7" t="s">
        <v>63</v>
      </c>
      <c r="C5" s="7" t="s">
        <v>16</v>
      </c>
      <c r="D5" s="7" t="s">
        <v>14</v>
      </c>
      <c r="E5" s="7" t="s">
        <v>64</v>
      </c>
      <c r="F5" s="5" t="str">
        <f t="shared" si="0"/>
        <v>Rajasthan Royals</v>
      </c>
      <c r="G5" s="7" t="s">
        <v>48</v>
      </c>
      <c r="H5" s="7" t="s">
        <v>14</v>
      </c>
      <c r="I5" s="7" t="s">
        <v>16</v>
      </c>
      <c r="J5" s="7" t="s">
        <v>65</v>
      </c>
      <c r="K5" s="7">
        <v>20</v>
      </c>
      <c r="L5" s="7" t="s">
        <v>66</v>
      </c>
      <c r="M5" s="7">
        <v>20</v>
      </c>
      <c r="N5" s="7" t="s">
        <v>14</v>
      </c>
      <c r="O5" s="14" t="s">
        <v>67</v>
      </c>
      <c r="P5" s="13" t="s">
        <v>52</v>
      </c>
      <c r="Q5">
        <f t="shared" si="1"/>
        <v>0</v>
      </c>
      <c r="R5">
        <f t="shared" si="2"/>
        <v>1</v>
      </c>
      <c r="S5" t="s">
        <v>16</v>
      </c>
      <c r="T5">
        <f>IF(N5=S5,1,T213)</f>
        <v>0</v>
      </c>
      <c r="U5">
        <f t="shared" si="3"/>
        <v>1</v>
      </c>
      <c r="V5">
        <f t="shared" si="4"/>
        <v>1</v>
      </c>
      <c r="W5">
        <f t="shared" si="5"/>
        <v>0</v>
      </c>
    </row>
    <row r="6" spans="1:23">
      <c r="A6" s="4">
        <v>5</v>
      </c>
      <c r="B6" s="5" t="s">
        <v>68</v>
      </c>
      <c r="C6" s="5" t="s">
        <v>15</v>
      </c>
      <c r="D6" s="5" t="s">
        <v>12</v>
      </c>
      <c r="E6" s="5" t="s">
        <v>69</v>
      </c>
      <c r="F6" s="5" t="str">
        <f t="shared" si="0"/>
        <v>Mumbai Indians</v>
      </c>
      <c r="G6" s="5" t="s">
        <v>48</v>
      </c>
      <c r="H6" s="5" t="s">
        <v>12</v>
      </c>
      <c r="I6" s="5" t="s">
        <v>15</v>
      </c>
      <c r="J6" s="5" t="s">
        <v>70</v>
      </c>
      <c r="K6" s="5">
        <v>20</v>
      </c>
      <c r="L6" s="5" t="s">
        <v>71</v>
      </c>
      <c r="M6" s="5">
        <v>16.2</v>
      </c>
      <c r="N6" s="5" t="s">
        <v>15</v>
      </c>
      <c r="O6" s="12" t="s">
        <v>72</v>
      </c>
      <c r="P6" s="13" t="s">
        <v>52</v>
      </c>
      <c r="Q6">
        <f t="shared" si="1"/>
        <v>1</v>
      </c>
      <c r="R6">
        <f t="shared" si="2"/>
        <v>0</v>
      </c>
      <c r="S6" t="s">
        <v>15</v>
      </c>
      <c r="T6">
        <f t="shared" ref="T6:T37" si="6">IF(N6=S6,1,0)</f>
        <v>1</v>
      </c>
      <c r="U6">
        <f t="shared" si="3"/>
        <v>0</v>
      </c>
      <c r="V6">
        <f t="shared" si="4"/>
        <v>0</v>
      </c>
      <c r="W6">
        <f t="shared" si="5"/>
        <v>1</v>
      </c>
    </row>
    <row r="7" spans="1:23">
      <c r="A7" s="6">
        <v>6</v>
      </c>
      <c r="B7" s="7" t="s">
        <v>73</v>
      </c>
      <c r="C7" s="7" t="s">
        <v>3</v>
      </c>
      <c r="D7" s="7" t="s">
        <v>11</v>
      </c>
      <c r="E7" s="7" t="s">
        <v>74</v>
      </c>
      <c r="F7" s="5" t="str">
        <f t="shared" si="0"/>
        <v>Chennai Super Kings</v>
      </c>
      <c r="G7" s="7" t="s">
        <v>48</v>
      </c>
      <c r="H7" s="7" t="s">
        <v>3</v>
      </c>
      <c r="I7" s="7" t="s">
        <v>11</v>
      </c>
      <c r="J7" s="7" t="s">
        <v>75</v>
      </c>
      <c r="K7" s="7">
        <v>20</v>
      </c>
      <c r="L7" s="7" t="s">
        <v>76</v>
      </c>
      <c r="M7" s="7">
        <v>20</v>
      </c>
      <c r="N7" s="7" t="s">
        <v>3</v>
      </c>
      <c r="O7" s="14" t="s">
        <v>77</v>
      </c>
      <c r="P7" s="13" t="s">
        <v>52</v>
      </c>
      <c r="Q7">
        <f t="shared" si="1"/>
        <v>0</v>
      </c>
      <c r="R7">
        <f t="shared" si="2"/>
        <v>1</v>
      </c>
      <c r="S7" t="s">
        <v>3</v>
      </c>
      <c r="T7">
        <f t="shared" si="6"/>
        <v>1</v>
      </c>
      <c r="U7">
        <f t="shared" si="3"/>
        <v>0</v>
      </c>
      <c r="V7">
        <f t="shared" si="4"/>
        <v>1</v>
      </c>
      <c r="W7">
        <f t="shared" si="5"/>
        <v>0</v>
      </c>
    </row>
    <row r="8" spans="1:23">
      <c r="A8" s="4">
        <v>7</v>
      </c>
      <c r="B8" s="5" t="s">
        <v>78</v>
      </c>
      <c r="C8" s="5" t="s">
        <v>6</v>
      </c>
      <c r="D8" s="5" t="s">
        <v>9</v>
      </c>
      <c r="E8" s="5" t="s">
        <v>47</v>
      </c>
      <c r="F8" s="5" t="str">
        <f t="shared" si="0"/>
        <v>Delhi Capitals</v>
      </c>
      <c r="G8" s="5" t="s">
        <v>48</v>
      </c>
      <c r="H8" s="5" t="s">
        <v>6</v>
      </c>
      <c r="I8" s="5" t="s">
        <v>9</v>
      </c>
      <c r="J8" s="5" t="s">
        <v>79</v>
      </c>
      <c r="K8" s="5">
        <v>20</v>
      </c>
      <c r="L8" s="5" t="s">
        <v>80</v>
      </c>
      <c r="M8" s="5">
        <v>18.100000000000001</v>
      </c>
      <c r="N8" s="5" t="s">
        <v>9</v>
      </c>
      <c r="O8" s="12" t="s">
        <v>81</v>
      </c>
      <c r="P8" s="13" t="s">
        <v>52</v>
      </c>
      <c r="Q8">
        <f t="shared" si="1"/>
        <v>1</v>
      </c>
      <c r="R8">
        <f t="shared" si="2"/>
        <v>0</v>
      </c>
      <c r="S8" s="13" t="s">
        <v>6</v>
      </c>
      <c r="T8">
        <f t="shared" si="6"/>
        <v>0</v>
      </c>
      <c r="U8">
        <f t="shared" si="3"/>
        <v>1</v>
      </c>
      <c r="V8">
        <f t="shared" si="4"/>
        <v>0</v>
      </c>
      <c r="W8">
        <f t="shared" si="5"/>
        <v>1</v>
      </c>
    </row>
    <row r="9" spans="1:23">
      <c r="A9" s="6">
        <v>8</v>
      </c>
      <c r="B9" s="7" t="s">
        <v>82</v>
      </c>
      <c r="C9" s="7" t="s">
        <v>14</v>
      </c>
      <c r="D9" s="7" t="s">
        <v>13</v>
      </c>
      <c r="E9" s="7" t="s">
        <v>83</v>
      </c>
      <c r="F9" s="5" t="str">
        <f t="shared" si="0"/>
        <v>Punjab Kings</v>
      </c>
      <c r="G9" s="7" t="s">
        <v>48</v>
      </c>
      <c r="H9" s="7" t="s">
        <v>13</v>
      </c>
      <c r="I9" s="7" t="s">
        <v>14</v>
      </c>
      <c r="J9" s="7" t="s">
        <v>84</v>
      </c>
      <c r="K9" s="7">
        <v>20</v>
      </c>
      <c r="L9" s="7" t="s">
        <v>85</v>
      </c>
      <c r="M9" s="7">
        <v>20</v>
      </c>
      <c r="N9" s="7" t="s">
        <v>13</v>
      </c>
      <c r="O9" s="14" t="s">
        <v>86</v>
      </c>
      <c r="P9" s="13" t="s">
        <v>52</v>
      </c>
      <c r="Q9">
        <f t="shared" si="1"/>
        <v>0</v>
      </c>
      <c r="R9">
        <f t="shared" si="2"/>
        <v>1</v>
      </c>
      <c r="S9" t="s">
        <v>14</v>
      </c>
      <c r="T9">
        <f t="shared" si="6"/>
        <v>0</v>
      </c>
      <c r="U9">
        <f t="shared" si="3"/>
        <v>1</v>
      </c>
      <c r="V9">
        <f t="shared" si="4"/>
        <v>1</v>
      </c>
      <c r="W9">
        <f t="shared" si="5"/>
        <v>0</v>
      </c>
    </row>
    <row r="10" spans="1:23">
      <c r="A10" s="4">
        <v>9</v>
      </c>
      <c r="B10" s="5" t="s">
        <v>87</v>
      </c>
      <c r="C10" s="5" t="s">
        <v>10</v>
      </c>
      <c r="D10" s="5" t="s">
        <v>15</v>
      </c>
      <c r="E10" s="5" t="s">
        <v>69</v>
      </c>
      <c r="F10" s="5" t="str">
        <f t="shared" si="0"/>
        <v>Kolkata Knight Riders</v>
      </c>
      <c r="G10" s="5" t="s">
        <v>48</v>
      </c>
      <c r="H10" s="5" t="s">
        <v>10</v>
      </c>
      <c r="I10" s="5" t="s">
        <v>15</v>
      </c>
      <c r="J10" s="5" t="s">
        <v>88</v>
      </c>
      <c r="K10" s="5">
        <v>20</v>
      </c>
      <c r="L10" s="5" t="s">
        <v>89</v>
      </c>
      <c r="M10" s="5">
        <v>17.399999999999999</v>
      </c>
      <c r="N10" s="5" t="s">
        <v>10</v>
      </c>
      <c r="O10" s="12" t="s">
        <v>90</v>
      </c>
      <c r="P10" s="13" t="s">
        <v>52</v>
      </c>
      <c r="Q10">
        <f t="shared" si="1"/>
        <v>0</v>
      </c>
      <c r="R10">
        <f t="shared" si="2"/>
        <v>1</v>
      </c>
      <c r="S10" t="s">
        <v>10</v>
      </c>
      <c r="T10">
        <f t="shared" si="6"/>
        <v>1</v>
      </c>
      <c r="U10">
        <f t="shared" si="3"/>
        <v>0</v>
      </c>
      <c r="V10">
        <f t="shared" si="4"/>
        <v>1</v>
      </c>
      <c r="W10">
        <f t="shared" si="5"/>
        <v>0</v>
      </c>
    </row>
    <row r="11" spans="1:23">
      <c r="A11" s="6">
        <v>10</v>
      </c>
      <c r="B11" s="7" t="s">
        <v>58</v>
      </c>
      <c r="C11" s="7" t="s">
        <v>11</v>
      </c>
      <c r="D11" s="7" t="s">
        <v>16</v>
      </c>
      <c r="E11" s="7" t="s">
        <v>64</v>
      </c>
      <c r="F11" s="5" t="str">
        <f t="shared" si="0"/>
        <v>Lucknow Super Giants</v>
      </c>
      <c r="G11" s="7" t="s">
        <v>91</v>
      </c>
      <c r="H11" s="7" t="s">
        <v>16</v>
      </c>
      <c r="I11" s="7" t="s">
        <v>11</v>
      </c>
      <c r="J11" s="7" t="s">
        <v>92</v>
      </c>
      <c r="K11" s="7">
        <v>20</v>
      </c>
      <c r="L11" s="7" t="s">
        <v>93</v>
      </c>
      <c r="M11" s="7">
        <v>16</v>
      </c>
      <c r="N11" s="7" t="s">
        <v>11</v>
      </c>
      <c r="O11" s="14" t="s">
        <v>51</v>
      </c>
      <c r="P11" s="13" t="s">
        <v>52</v>
      </c>
      <c r="Q11">
        <f t="shared" si="1"/>
        <v>0</v>
      </c>
      <c r="R11">
        <f t="shared" si="2"/>
        <v>1</v>
      </c>
      <c r="S11" t="s">
        <v>11</v>
      </c>
      <c r="T11">
        <f t="shared" si="6"/>
        <v>1</v>
      </c>
      <c r="U11">
        <f t="shared" si="3"/>
        <v>0</v>
      </c>
      <c r="V11">
        <f t="shared" si="4"/>
        <v>0</v>
      </c>
      <c r="W11">
        <f t="shared" si="5"/>
        <v>1</v>
      </c>
    </row>
    <row r="12" spans="1:23">
      <c r="A12" s="4">
        <v>11</v>
      </c>
      <c r="B12" s="5" t="s">
        <v>82</v>
      </c>
      <c r="C12" s="5" t="s">
        <v>14</v>
      </c>
      <c r="D12" s="5" t="s">
        <v>6</v>
      </c>
      <c r="E12" s="5" t="s">
        <v>59</v>
      </c>
      <c r="F12" s="5" t="str">
        <f t="shared" si="0"/>
        <v>Rajasthan Royals</v>
      </c>
      <c r="G12" s="5" t="s">
        <v>48</v>
      </c>
      <c r="H12" s="5" t="s">
        <v>14</v>
      </c>
      <c r="I12" s="5" t="s">
        <v>6</v>
      </c>
      <c r="J12" s="5" t="s">
        <v>94</v>
      </c>
      <c r="K12" s="5">
        <v>20</v>
      </c>
      <c r="L12" s="5" t="s">
        <v>95</v>
      </c>
      <c r="M12" s="5">
        <v>20</v>
      </c>
      <c r="N12" s="5" t="s">
        <v>14</v>
      </c>
      <c r="O12" s="12" t="s">
        <v>96</v>
      </c>
      <c r="P12" s="13" t="s">
        <v>52</v>
      </c>
      <c r="Q12">
        <f t="shared" si="1"/>
        <v>0</v>
      </c>
      <c r="R12">
        <f t="shared" si="2"/>
        <v>1</v>
      </c>
      <c r="S12" t="s">
        <v>14</v>
      </c>
      <c r="T12">
        <f t="shared" si="6"/>
        <v>1</v>
      </c>
      <c r="U12">
        <f t="shared" si="3"/>
        <v>0</v>
      </c>
      <c r="V12">
        <f t="shared" si="4"/>
        <v>1</v>
      </c>
      <c r="W12">
        <f t="shared" si="5"/>
        <v>0</v>
      </c>
    </row>
    <row r="13" spans="1:23">
      <c r="A13" s="6">
        <v>12</v>
      </c>
      <c r="B13" s="7" t="s">
        <v>97</v>
      </c>
      <c r="C13" s="7" t="s">
        <v>12</v>
      </c>
      <c r="D13" s="7" t="s">
        <v>3</v>
      </c>
      <c r="E13" s="7" t="s">
        <v>98</v>
      </c>
      <c r="F13" s="5" t="str">
        <f t="shared" si="0"/>
        <v>Mumbai Indians</v>
      </c>
      <c r="G13" s="7" t="s">
        <v>48</v>
      </c>
      <c r="H13" s="7" t="s">
        <v>12</v>
      </c>
      <c r="I13" s="7" t="s">
        <v>3</v>
      </c>
      <c r="J13" s="7" t="s">
        <v>99</v>
      </c>
      <c r="K13" s="7">
        <v>20</v>
      </c>
      <c r="L13" s="7" t="s">
        <v>100</v>
      </c>
      <c r="M13" s="7">
        <v>18.100000000000001</v>
      </c>
      <c r="N13" s="7" t="s">
        <v>3</v>
      </c>
      <c r="O13" s="14" t="s">
        <v>101</v>
      </c>
      <c r="P13" s="13" t="s">
        <v>52</v>
      </c>
      <c r="Q13">
        <f t="shared" si="1"/>
        <v>1</v>
      </c>
      <c r="R13">
        <f t="shared" si="2"/>
        <v>0</v>
      </c>
      <c r="S13" t="s">
        <v>12</v>
      </c>
      <c r="T13">
        <f t="shared" si="6"/>
        <v>0</v>
      </c>
      <c r="U13">
        <f t="shared" si="3"/>
        <v>1</v>
      </c>
      <c r="V13">
        <f t="shared" si="4"/>
        <v>0</v>
      </c>
      <c r="W13">
        <f t="shared" si="5"/>
        <v>1</v>
      </c>
    </row>
    <row r="14" spans="1:23">
      <c r="A14" s="4">
        <v>13</v>
      </c>
      <c r="B14" s="5" t="s">
        <v>46</v>
      </c>
      <c r="C14" s="5" t="s">
        <v>9</v>
      </c>
      <c r="D14" s="5" t="s">
        <v>10</v>
      </c>
      <c r="E14" s="5" t="s">
        <v>47</v>
      </c>
      <c r="F14" s="5" t="str">
        <f t="shared" si="0"/>
        <v>Kolkata Knight Riders</v>
      </c>
      <c r="G14" s="5" t="s">
        <v>91</v>
      </c>
      <c r="H14" s="5" t="s">
        <v>9</v>
      </c>
      <c r="I14" s="5" t="s">
        <v>10</v>
      </c>
      <c r="J14" s="5" t="s">
        <v>102</v>
      </c>
      <c r="K14" s="5">
        <v>20</v>
      </c>
      <c r="L14" s="5" t="s">
        <v>103</v>
      </c>
      <c r="M14" s="5">
        <v>20</v>
      </c>
      <c r="N14" s="5" t="s">
        <v>10</v>
      </c>
      <c r="O14" s="12" t="s">
        <v>104</v>
      </c>
      <c r="P14" s="13" t="s">
        <v>52</v>
      </c>
      <c r="Q14">
        <f t="shared" si="1"/>
        <v>0</v>
      </c>
      <c r="R14">
        <f t="shared" si="2"/>
        <v>1</v>
      </c>
      <c r="S14" t="s">
        <v>9</v>
      </c>
      <c r="T14">
        <f t="shared" si="6"/>
        <v>0</v>
      </c>
      <c r="U14">
        <f t="shared" si="3"/>
        <v>1</v>
      </c>
      <c r="V14">
        <f t="shared" si="4"/>
        <v>0</v>
      </c>
      <c r="W14">
        <f t="shared" si="5"/>
        <v>1</v>
      </c>
    </row>
    <row r="15" spans="1:23">
      <c r="A15" s="6">
        <v>14</v>
      </c>
      <c r="B15" s="7" t="s">
        <v>63</v>
      </c>
      <c r="C15" s="7" t="s">
        <v>16</v>
      </c>
      <c r="D15" s="7" t="s">
        <v>13</v>
      </c>
      <c r="E15" s="7" t="s">
        <v>64</v>
      </c>
      <c r="F15" s="5" t="str">
        <f t="shared" si="0"/>
        <v>Punjab Kings</v>
      </c>
      <c r="G15" s="7" t="s">
        <v>48</v>
      </c>
      <c r="H15" s="7" t="s">
        <v>13</v>
      </c>
      <c r="I15" s="7" t="s">
        <v>16</v>
      </c>
      <c r="J15" s="7" t="s">
        <v>61</v>
      </c>
      <c r="K15" s="7">
        <v>20</v>
      </c>
      <c r="L15" s="7" t="s">
        <v>105</v>
      </c>
      <c r="M15" s="7">
        <v>17.100000000000001</v>
      </c>
      <c r="N15" s="7" t="s">
        <v>16</v>
      </c>
      <c r="O15" s="14" t="s">
        <v>72</v>
      </c>
      <c r="P15" s="13" t="s">
        <v>52</v>
      </c>
      <c r="Q15">
        <f t="shared" si="1"/>
        <v>1</v>
      </c>
      <c r="R15">
        <f t="shared" si="2"/>
        <v>0</v>
      </c>
      <c r="S15" t="s">
        <v>16</v>
      </c>
      <c r="T15">
        <f t="shared" si="6"/>
        <v>1</v>
      </c>
      <c r="U15">
        <f t="shared" si="3"/>
        <v>0</v>
      </c>
      <c r="V15">
        <f t="shared" si="4"/>
        <v>0</v>
      </c>
      <c r="W15">
        <f t="shared" si="5"/>
        <v>1</v>
      </c>
    </row>
    <row r="16" spans="1:23">
      <c r="A16" s="4">
        <v>15</v>
      </c>
      <c r="B16" s="5" t="s">
        <v>68</v>
      </c>
      <c r="C16" s="5" t="s">
        <v>15</v>
      </c>
      <c r="D16" s="5" t="s">
        <v>11</v>
      </c>
      <c r="E16" s="5" t="s">
        <v>74</v>
      </c>
      <c r="F16" s="5" t="str">
        <f t="shared" si="0"/>
        <v>Royal Challengers Bangalore</v>
      </c>
      <c r="G16" s="5" t="s">
        <v>48</v>
      </c>
      <c r="H16" s="5" t="s">
        <v>15</v>
      </c>
      <c r="I16" s="5" t="s">
        <v>11</v>
      </c>
      <c r="J16" s="5" t="s">
        <v>106</v>
      </c>
      <c r="K16" s="5">
        <v>20</v>
      </c>
      <c r="L16" s="5" t="s">
        <v>107</v>
      </c>
      <c r="M16" s="5">
        <v>20</v>
      </c>
      <c r="N16" s="5" t="s">
        <v>11</v>
      </c>
      <c r="O16" s="12" t="s">
        <v>108</v>
      </c>
      <c r="P16" s="13" t="s">
        <v>52</v>
      </c>
      <c r="Q16">
        <f t="shared" si="1"/>
        <v>1</v>
      </c>
      <c r="R16">
        <f t="shared" si="2"/>
        <v>0</v>
      </c>
      <c r="S16" t="s">
        <v>15</v>
      </c>
      <c r="T16">
        <f t="shared" si="6"/>
        <v>0</v>
      </c>
      <c r="U16">
        <f t="shared" si="3"/>
        <v>1</v>
      </c>
      <c r="V16">
        <f t="shared" si="4"/>
        <v>0</v>
      </c>
      <c r="W16">
        <f t="shared" si="5"/>
        <v>1</v>
      </c>
    </row>
    <row r="17" spans="1:23">
      <c r="A17" s="6">
        <v>16</v>
      </c>
      <c r="B17" s="7" t="s">
        <v>78</v>
      </c>
      <c r="C17" s="7" t="s">
        <v>6</v>
      </c>
      <c r="D17" s="7" t="s">
        <v>12</v>
      </c>
      <c r="E17" s="7" t="s">
        <v>109</v>
      </c>
      <c r="F17" s="5" t="str">
        <f t="shared" si="0"/>
        <v>Delhi Capitals</v>
      </c>
      <c r="G17" s="7" t="s">
        <v>48</v>
      </c>
      <c r="H17" s="7" t="s">
        <v>6</v>
      </c>
      <c r="I17" s="7" t="s">
        <v>12</v>
      </c>
      <c r="J17" s="7" t="s">
        <v>110</v>
      </c>
      <c r="K17" s="7">
        <v>19.399999999999999</v>
      </c>
      <c r="L17" s="7" t="s">
        <v>111</v>
      </c>
      <c r="M17" s="7">
        <v>20</v>
      </c>
      <c r="N17" s="7" t="s">
        <v>12</v>
      </c>
      <c r="O17" s="14" t="s">
        <v>81</v>
      </c>
      <c r="P17" s="13" t="s">
        <v>52</v>
      </c>
      <c r="Q17">
        <f t="shared" si="1"/>
        <v>1</v>
      </c>
      <c r="R17">
        <f t="shared" si="2"/>
        <v>0</v>
      </c>
      <c r="S17" t="s">
        <v>6</v>
      </c>
      <c r="T17">
        <f t="shared" si="6"/>
        <v>0</v>
      </c>
      <c r="U17">
        <f t="shared" si="3"/>
        <v>1</v>
      </c>
      <c r="V17">
        <f t="shared" si="4"/>
        <v>0</v>
      </c>
      <c r="W17">
        <f t="shared" si="5"/>
        <v>1</v>
      </c>
    </row>
    <row r="18" spans="1:23">
      <c r="A18" s="4">
        <v>17</v>
      </c>
      <c r="B18" s="5" t="s">
        <v>73</v>
      </c>
      <c r="C18" s="5" t="s">
        <v>3</v>
      </c>
      <c r="D18" s="5" t="s">
        <v>14</v>
      </c>
      <c r="E18" s="5" t="s">
        <v>98</v>
      </c>
      <c r="F18" s="5" t="str">
        <f t="shared" si="0"/>
        <v>Rajasthan Royals</v>
      </c>
      <c r="G18" s="5" t="s">
        <v>48</v>
      </c>
      <c r="H18" s="5" t="s">
        <v>14</v>
      </c>
      <c r="I18" s="5" t="s">
        <v>3</v>
      </c>
      <c r="J18" s="5" t="s">
        <v>112</v>
      </c>
      <c r="K18" s="5">
        <v>20</v>
      </c>
      <c r="L18" s="5" t="s">
        <v>113</v>
      </c>
      <c r="M18" s="5">
        <v>20</v>
      </c>
      <c r="N18" s="5" t="s">
        <v>14</v>
      </c>
      <c r="O18" s="12" t="s">
        <v>114</v>
      </c>
      <c r="P18" s="13" t="s">
        <v>52</v>
      </c>
      <c r="Q18">
        <f t="shared" si="1"/>
        <v>0</v>
      </c>
      <c r="R18">
        <f t="shared" si="2"/>
        <v>1</v>
      </c>
      <c r="S18" t="s">
        <v>3</v>
      </c>
      <c r="T18">
        <f t="shared" si="6"/>
        <v>0</v>
      </c>
      <c r="U18">
        <f t="shared" si="3"/>
        <v>1</v>
      </c>
      <c r="V18">
        <f t="shared" si="4"/>
        <v>1</v>
      </c>
      <c r="W18">
        <f t="shared" si="5"/>
        <v>0</v>
      </c>
    </row>
    <row r="19" spans="1:23">
      <c r="A19" s="6">
        <v>18</v>
      </c>
      <c r="B19" s="7" t="s">
        <v>53</v>
      </c>
      <c r="C19" s="7" t="s">
        <v>13</v>
      </c>
      <c r="D19" s="7" t="s">
        <v>9</v>
      </c>
      <c r="E19" s="7" t="s">
        <v>47</v>
      </c>
      <c r="F19" s="5" t="str">
        <f t="shared" si="0"/>
        <v>Punjab Kings</v>
      </c>
      <c r="G19" s="7" t="s">
        <v>48</v>
      </c>
      <c r="H19" s="7" t="s">
        <v>13</v>
      </c>
      <c r="I19" s="7" t="s">
        <v>9</v>
      </c>
      <c r="J19" s="7" t="s">
        <v>115</v>
      </c>
      <c r="K19" s="7">
        <v>20</v>
      </c>
      <c r="L19" s="7" t="s">
        <v>116</v>
      </c>
      <c r="M19" s="7">
        <v>19.5</v>
      </c>
      <c r="N19" s="7" t="s">
        <v>9</v>
      </c>
      <c r="O19" s="14" t="s">
        <v>81</v>
      </c>
      <c r="P19" s="13" t="s">
        <v>52</v>
      </c>
      <c r="Q19">
        <f t="shared" si="1"/>
        <v>1</v>
      </c>
      <c r="R19">
        <f t="shared" si="2"/>
        <v>0</v>
      </c>
      <c r="S19" t="s">
        <v>13</v>
      </c>
      <c r="T19">
        <f t="shared" si="6"/>
        <v>0</v>
      </c>
      <c r="U19">
        <f t="shared" si="3"/>
        <v>1</v>
      </c>
      <c r="V19">
        <f t="shared" si="4"/>
        <v>0</v>
      </c>
      <c r="W19">
        <f t="shared" si="5"/>
        <v>1</v>
      </c>
    </row>
    <row r="20" spans="1:23">
      <c r="A20" s="4">
        <v>19</v>
      </c>
      <c r="B20" s="5" t="s">
        <v>87</v>
      </c>
      <c r="C20" s="5" t="s">
        <v>10</v>
      </c>
      <c r="D20" s="5" t="s">
        <v>16</v>
      </c>
      <c r="E20" s="5" t="s">
        <v>54</v>
      </c>
      <c r="F20" s="5" t="str">
        <f t="shared" si="0"/>
        <v>Sunrisers Hyderabad</v>
      </c>
      <c r="G20" s="5" t="s">
        <v>48</v>
      </c>
      <c r="H20" s="5" t="s">
        <v>16</v>
      </c>
      <c r="I20" s="5" t="s">
        <v>10</v>
      </c>
      <c r="J20" s="5" t="s">
        <v>117</v>
      </c>
      <c r="K20" s="5">
        <v>20</v>
      </c>
      <c r="L20" s="5" t="s">
        <v>76</v>
      </c>
      <c r="M20" s="5">
        <v>20</v>
      </c>
      <c r="N20" s="5" t="s">
        <v>16</v>
      </c>
      <c r="O20" s="12" t="s">
        <v>118</v>
      </c>
      <c r="P20" s="13" t="s">
        <v>52</v>
      </c>
      <c r="Q20">
        <f t="shared" si="1"/>
        <v>0</v>
      </c>
      <c r="R20">
        <f t="shared" si="2"/>
        <v>1</v>
      </c>
      <c r="S20" t="s">
        <v>10</v>
      </c>
      <c r="T20">
        <f t="shared" si="6"/>
        <v>0</v>
      </c>
      <c r="U20">
        <f t="shared" si="3"/>
        <v>1</v>
      </c>
      <c r="V20">
        <f t="shared" si="4"/>
        <v>1</v>
      </c>
      <c r="W20">
        <f t="shared" si="5"/>
        <v>0</v>
      </c>
    </row>
    <row r="21" spans="1:23">
      <c r="A21" s="6">
        <v>20</v>
      </c>
      <c r="B21" s="7" t="s">
        <v>68</v>
      </c>
      <c r="C21" s="7" t="s">
        <v>15</v>
      </c>
      <c r="D21" s="7" t="s">
        <v>6</v>
      </c>
      <c r="E21" s="7" t="s">
        <v>59</v>
      </c>
      <c r="F21" s="5" t="str">
        <f t="shared" si="0"/>
        <v>Royal Challengers Bangalore</v>
      </c>
      <c r="G21" s="7" t="s">
        <v>48</v>
      </c>
      <c r="H21" s="7" t="s">
        <v>15</v>
      </c>
      <c r="I21" s="7" t="s">
        <v>6</v>
      </c>
      <c r="J21" s="7" t="s">
        <v>119</v>
      </c>
      <c r="K21" s="7">
        <v>20</v>
      </c>
      <c r="L21" s="7" t="s">
        <v>120</v>
      </c>
      <c r="M21" s="7">
        <v>20</v>
      </c>
      <c r="N21" s="7" t="s">
        <v>15</v>
      </c>
      <c r="O21" s="14" t="s">
        <v>118</v>
      </c>
      <c r="P21" s="13" t="s">
        <v>52</v>
      </c>
      <c r="Q21">
        <f t="shared" si="1"/>
        <v>0</v>
      </c>
      <c r="R21">
        <f t="shared" si="2"/>
        <v>1</v>
      </c>
      <c r="S21" t="s">
        <v>15</v>
      </c>
      <c r="T21">
        <f t="shared" si="6"/>
        <v>1</v>
      </c>
      <c r="U21">
        <f t="shared" si="3"/>
        <v>0</v>
      </c>
      <c r="V21">
        <f t="shared" si="4"/>
        <v>1</v>
      </c>
      <c r="W21">
        <f t="shared" si="5"/>
        <v>0</v>
      </c>
    </row>
    <row r="22" spans="1:23">
      <c r="A22" s="4">
        <v>21</v>
      </c>
      <c r="B22" s="5" t="s">
        <v>58</v>
      </c>
      <c r="C22" s="5" t="s">
        <v>11</v>
      </c>
      <c r="D22" s="5" t="s">
        <v>13</v>
      </c>
      <c r="E22" s="5" t="s">
        <v>121</v>
      </c>
      <c r="F22" s="5" t="str">
        <f t="shared" si="0"/>
        <v>Lucknow Super Giants</v>
      </c>
      <c r="G22" s="5" t="s">
        <v>48</v>
      </c>
      <c r="H22" s="5" t="s">
        <v>11</v>
      </c>
      <c r="I22" s="5" t="s">
        <v>13</v>
      </c>
      <c r="J22" s="5" t="s">
        <v>122</v>
      </c>
      <c r="K22" s="5">
        <v>20</v>
      </c>
      <c r="L22" s="5" t="s">
        <v>123</v>
      </c>
      <c r="M22" s="5">
        <v>19.3</v>
      </c>
      <c r="N22" s="5" t="s">
        <v>13</v>
      </c>
      <c r="O22" s="12" t="s">
        <v>124</v>
      </c>
      <c r="P22" s="13" t="s">
        <v>52</v>
      </c>
      <c r="Q22">
        <f t="shared" si="1"/>
        <v>1</v>
      </c>
      <c r="R22">
        <f t="shared" si="2"/>
        <v>0</v>
      </c>
      <c r="S22" t="s">
        <v>11</v>
      </c>
      <c r="T22">
        <f t="shared" si="6"/>
        <v>0</v>
      </c>
      <c r="U22">
        <f t="shared" si="3"/>
        <v>1</v>
      </c>
      <c r="V22">
        <f t="shared" si="4"/>
        <v>0</v>
      </c>
      <c r="W22">
        <f t="shared" si="5"/>
        <v>1</v>
      </c>
    </row>
    <row r="23" spans="1:23">
      <c r="A23" s="6">
        <v>22</v>
      </c>
      <c r="B23" s="7" t="s">
        <v>97</v>
      </c>
      <c r="C23" s="7" t="s">
        <v>12</v>
      </c>
      <c r="D23" s="7" t="s">
        <v>10</v>
      </c>
      <c r="E23" s="7" t="s">
        <v>109</v>
      </c>
      <c r="F23" s="5" t="str">
        <f t="shared" si="0"/>
        <v>Kolkata Knight Riders</v>
      </c>
      <c r="G23" s="7" t="s">
        <v>48</v>
      </c>
      <c r="H23" s="7" t="s">
        <v>10</v>
      </c>
      <c r="I23" s="7" t="s">
        <v>12</v>
      </c>
      <c r="J23" s="7" t="s">
        <v>125</v>
      </c>
      <c r="K23" s="7">
        <v>20</v>
      </c>
      <c r="L23" s="7" t="s">
        <v>126</v>
      </c>
      <c r="M23" s="7">
        <v>17.399999999999999</v>
      </c>
      <c r="N23" s="7" t="s">
        <v>12</v>
      </c>
      <c r="O23" s="14" t="s">
        <v>51</v>
      </c>
      <c r="P23" s="13" t="s">
        <v>52</v>
      </c>
      <c r="Q23">
        <f t="shared" si="1"/>
        <v>1</v>
      </c>
      <c r="R23">
        <f t="shared" si="2"/>
        <v>0</v>
      </c>
      <c r="S23" t="s">
        <v>12</v>
      </c>
      <c r="T23">
        <f t="shared" si="6"/>
        <v>1</v>
      </c>
      <c r="U23">
        <f t="shared" si="3"/>
        <v>0</v>
      </c>
      <c r="V23">
        <f t="shared" si="4"/>
        <v>0</v>
      </c>
      <c r="W23">
        <f t="shared" si="5"/>
        <v>1</v>
      </c>
    </row>
    <row r="24" spans="1:23">
      <c r="A24" s="4">
        <v>23</v>
      </c>
      <c r="B24" s="5" t="s">
        <v>46</v>
      </c>
      <c r="C24" s="5" t="s">
        <v>9</v>
      </c>
      <c r="D24" s="5" t="s">
        <v>14</v>
      </c>
      <c r="E24" s="5" t="s">
        <v>83</v>
      </c>
      <c r="F24" s="5" t="str">
        <f t="shared" si="0"/>
        <v>Gujarat Titans</v>
      </c>
      <c r="G24" s="5" t="s">
        <v>48</v>
      </c>
      <c r="H24" s="5" t="s">
        <v>9</v>
      </c>
      <c r="I24" s="5" t="s">
        <v>14</v>
      </c>
      <c r="J24" s="5" t="s">
        <v>127</v>
      </c>
      <c r="K24" s="5">
        <v>20</v>
      </c>
      <c r="L24" s="5" t="s">
        <v>128</v>
      </c>
      <c r="M24" s="5">
        <v>19.2</v>
      </c>
      <c r="N24" s="5" t="s">
        <v>14</v>
      </c>
      <c r="O24" s="12" t="s">
        <v>104</v>
      </c>
      <c r="P24" s="13" t="s">
        <v>52</v>
      </c>
      <c r="Q24">
        <f t="shared" si="1"/>
        <v>1</v>
      </c>
      <c r="R24">
        <f t="shared" si="2"/>
        <v>0</v>
      </c>
      <c r="S24" t="s">
        <v>9</v>
      </c>
      <c r="T24">
        <f t="shared" si="6"/>
        <v>0</v>
      </c>
      <c r="U24">
        <f t="shared" si="3"/>
        <v>1</v>
      </c>
      <c r="V24">
        <f t="shared" si="4"/>
        <v>0</v>
      </c>
      <c r="W24">
        <f t="shared" si="5"/>
        <v>1</v>
      </c>
    </row>
    <row r="25" spans="1:23">
      <c r="A25" s="6">
        <v>24</v>
      </c>
      <c r="B25" s="7" t="s">
        <v>68</v>
      </c>
      <c r="C25" s="7" t="s">
        <v>15</v>
      </c>
      <c r="D25" s="7" t="s">
        <v>3</v>
      </c>
      <c r="E25" s="7" t="s">
        <v>69</v>
      </c>
      <c r="F25" s="5" t="str">
        <f t="shared" si="0"/>
        <v>Chennai Super Kings</v>
      </c>
      <c r="G25" s="7" t="s">
        <v>48</v>
      </c>
      <c r="H25" s="7" t="s">
        <v>3</v>
      </c>
      <c r="I25" s="7" t="s">
        <v>15</v>
      </c>
      <c r="J25" s="7" t="s">
        <v>129</v>
      </c>
      <c r="K25" s="7">
        <v>20</v>
      </c>
      <c r="L25" s="7" t="s">
        <v>130</v>
      </c>
      <c r="M25" s="7">
        <v>20</v>
      </c>
      <c r="N25" s="7" t="s">
        <v>3</v>
      </c>
      <c r="O25" s="14" t="s">
        <v>131</v>
      </c>
      <c r="P25" s="13" t="s">
        <v>52</v>
      </c>
      <c r="Q25">
        <f t="shared" si="1"/>
        <v>0</v>
      </c>
      <c r="R25">
        <f t="shared" si="2"/>
        <v>1</v>
      </c>
      <c r="S25" t="s">
        <v>15</v>
      </c>
      <c r="T25">
        <f t="shared" si="6"/>
        <v>0</v>
      </c>
      <c r="U25">
        <f t="shared" si="3"/>
        <v>1</v>
      </c>
      <c r="V25">
        <f t="shared" si="4"/>
        <v>1</v>
      </c>
      <c r="W25">
        <f t="shared" si="5"/>
        <v>0</v>
      </c>
    </row>
    <row r="26" spans="1:23">
      <c r="A26" s="4">
        <v>25</v>
      </c>
      <c r="B26" s="5" t="s">
        <v>63</v>
      </c>
      <c r="C26" s="5" t="s">
        <v>16</v>
      </c>
      <c r="D26" s="5" t="s">
        <v>12</v>
      </c>
      <c r="E26" s="5" t="s">
        <v>64</v>
      </c>
      <c r="F26" s="5" t="str">
        <f t="shared" si="0"/>
        <v>Mumbai Indians</v>
      </c>
      <c r="G26" s="5" t="s">
        <v>48</v>
      </c>
      <c r="H26" s="5" t="s">
        <v>12</v>
      </c>
      <c r="I26" s="5" t="s">
        <v>16</v>
      </c>
      <c r="J26" s="5" t="s">
        <v>132</v>
      </c>
      <c r="K26" s="5">
        <v>20</v>
      </c>
      <c r="L26" s="5" t="s">
        <v>133</v>
      </c>
      <c r="M26" s="5">
        <v>19.5</v>
      </c>
      <c r="N26" s="5" t="s">
        <v>12</v>
      </c>
      <c r="O26" s="12" t="s">
        <v>134</v>
      </c>
      <c r="P26" s="13" t="s">
        <v>52</v>
      </c>
      <c r="Q26">
        <f t="shared" si="1"/>
        <v>0</v>
      </c>
      <c r="R26">
        <f t="shared" si="2"/>
        <v>1</v>
      </c>
      <c r="S26" t="s">
        <v>16</v>
      </c>
      <c r="T26">
        <f t="shared" si="6"/>
        <v>0</v>
      </c>
      <c r="U26">
        <f t="shared" si="3"/>
        <v>1</v>
      </c>
      <c r="V26">
        <f t="shared" si="4"/>
        <v>1</v>
      </c>
      <c r="W26">
        <f t="shared" si="5"/>
        <v>0</v>
      </c>
    </row>
    <row r="27" spans="1:23">
      <c r="A27" s="6">
        <v>26</v>
      </c>
      <c r="B27" s="7" t="s">
        <v>135</v>
      </c>
      <c r="C27" s="7" t="s">
        <v>14</v>
      </c>
      <c r="D27" s="7" t="s">
        <v>11</v>
      </c>
      <c r="E27" s="7" t="s">
        <v>83</v>
      </c>
      <c r="F27" s="5" t="str">
        <f t="shared" si="0"/>
        <v>Lucknow Super Giants</v>
      </c>
      <c r="G27" s="7" t="s">
        <v>48</v>
      </c>
      <c r="H27" s="7" t="s">
        <v>11</v>
      </c>
      <c r="I27" s="7" t="s">
        <v>14</v>
      </c>
      <c r="J27" s="7" t="s">
        <v>136</v>
      </c>
      <c r="K27" s="7">
        <v>20</v>
      </c>
      <c r="L27" s="7" t="s">
        <v>137</v>
      </c>
      <c r="M27" s="7">
        <v>20</v>
      </c>
      <c r="N27" s="7" t="s">
        <v>11</v>
      </c>
      <c r="O27" s="14" t="s">
        <v>138</v>
      </c>
      <c r="P27" s="13" t="s">
        <v>52</v>
      </c>
      <c r="Q27">
        <f t="shared" si="1"/>
        <v>0</v>
      </c>
      <c r="R27">
        <f t="shared" si="2"/>
        <v>1</v>
      </c>
      <c r="S27" t="s">
        <v>14</v>
      </c>
      <c r="T27">
        <f t="shared" si="6"/>
        <v>0</v>
      </c>
      <c r="U27">
        <f t="shared" si="3"/>
        <v>1</v>
      </c>
      <c r="V27">
        <f t="shared" si="4"/>
        <v>1</v>
      </c>
      <c r="W27">
        <f t="shared" si="5"/>
        <v>0</v>
      </c>
    </row>
    <row r="28" spans="1:23">
      <c r="A28" s="4">
        <v>27</v>
      </c>
      <c r="B28" s="5" t="s">
        <v>53</v>
      </c>
      <c r="C28" s="5" t="s">
        <v>13</v>
      </c>
      <c r="D28" s="5" t="s">
        <v>15</v>
      </c>
      <c r="E28" s="5" t="s">
        <v>121</v>
      </c>
      <c r="F28" s="5" t="str">
        <f t="shared" si="0"/>
        <v>Royal Challengers Bangalore</v>
      </c>
      <c r="G28" s="5" t="s">
        <v>48</v>
      </c>
      <c r="H28" s="5" t="s">
        <v>15</v>
      </c>
      <c r="I28" s="5" t="s">
        <v>13</v>
      </c>
      <c r="J28" s="5" t="s">
        <v>139</v>
      </c>
      <c r="K28" s="5">
        <v>20</v>
      </c>
      <c r="L28" s="5" t="s">
        <v>140</v>
      </c>
      <c r="M28" s="5">
        <v>18.2</v>
      </c>
      <c r="N28" s="5" t="s">
        <v>15</v>
      </c>
      <c r="O28" s="12" t="s">
        <v>141</v>
      </c>
      <c r="P28" s="13" t="s">
        <v>52</v>
      </c>
      <c r="Q28">
        <f t="shared" si="1"/>
        <v>0</v>
      </c>
      <c r="R28">
        <f t="shared" si="2"/>
        <v>1</v>
      </c>
      <c r="S28" t="s">
        <v>13</v>
      </c>
      <c r="T28">
        <f t="shared" si="6"/>
        <v>0</v>
      </c>
      <c r="U28">
        <f t="shared" si="3"/>
        <v>1</v>
      </c>
      <c r="V28">
        <f t="shared" si="4"/>
        <v>1</v>
      </c>
      <c r="W28">
        <f t="shared" si="5"/>
        <v>0</v>
      </c>
    </row>
    <row r="29" spans="1:23">
      <c r="A29" s="6">
        <v>28</v>
      </c>
      <c r="B29" s="7" t="s">
        <v>78</v>
      </c>
      <c r="C29" s="7" t="s">
        <v>6</v>
      </c>
      <c r="D29" s="7" t="s">
        <v>10</v>
      </c>
      <c r="E29" s="7" t="s">
        <v>59</v>
      </c>
      <c r="F29" s="5" t="str">
        <f t="shared" si="0"/>
        <v>Kolkata Knight Riders</v>
      </c>
      <c r="G29" s="7" t="s">
        <v>48</v>
      </c>
      <c r="H29" s="7" t="s">
        <v>10</v>
      </c>
      <c r="I29" s="7" t="s">
        <v>6</v>
      </c>
      <c r="J29" s="7" t="s">
        <v>142</v>
      </c>
      <c r="K29" s="7">
        <v>20</v>
      </c>
      <c r="L29" s="7" t="s">
        <v>143</v>
      </c>
      <c r="M29" s="7">
        <v>19.2</v>
      </c>
      <c r="N29" s="7" t="s">
        <v>6</v>
      </c>
      <c r="O29" s="14" t="s">
        <v>144</v>
      </c>
      <c r="P29" s="13" t="s">
        <v>52</v>
      </c>
      <c r="Q29">
        <f t="shared" si="1"/>
        <v>1</v>
      </c>
      <c r="R29">
        <f t="shared" si="2"/>
        <v>0</v>
      </c>
      <c r="S29" t="s">
        <v>6</v>
      </c>
      <c r="T29">
        <f t="shared" si="6"/>
        <v>1</v>
      </c>
      <c r="U29">
        <f t="shared" si="3"/>
        <v>0</v>
      </c>
      <c r="V29">
        <f t="shared" si="4"/>
        <v>0</v>
      </c>
      <c r="W29">
        <f t="shared" si="5"/>
        <v>1</v>
      </c>
    </row>
    <row r="30" spans="1:23">
      <c r="A30" s="4">
        <v>29</v>
      </c>
      <c r="B30" s="5" t="s">
        <v>73</v>
      </c>
      <c r="C30" s="5" t="s">
        <v>3</v>
      </c>
      <c r="D30" s="5" t="s">
        <v>145</v>
      </c>
      <c r="E30" s="5" t="s">
        <v>98</v>
      </c>
      <c r="F30" s="5" t="str">
        <f t="shared" si="0"/>
        <v>Sunrises Hyderabad</v>
      </c>
      <c r="G30" s="5" t="s">
        <v>48</v>
      </c>
      <c r="H30" s="5" t="s">
        <v>16</v>
      </c>
      <c r="I30" s="5" t="s">
        <v>3</v>
      </c>
      <c r="J30" s="5" t="s">
        <v>146</v>
      </c>
      <c r="K30" s="5">
        <v>20</v>
      </c>
      <c r="L30" s="5" t="s">
        <v>147</v>
      </c>
      <c r="M30" s="5">
        <v>18.399999999999999</v>
      </c>
      <c r="N30" s="5" t="s">
        <v>3</v>
      </c>
      <c r="O30" s="12" t="s">
        <v>101</v>
      </c>
      <c r="P30" s="13" t="s">
        <v>52</v>
      </c>
      <c r="Q30">
        <f t="shared" si="1"/>
        <v>1</v>
      </c>
      <c r="R30">
        <f t="shared" si="2"/>
        <v>0</v>
      </c>
      <c r="S30" t="s">
        <v>3</v>
      </c>
      <c r="T30">
        <f t="shared" si="6"/>
        <v>1</v>
      </c>
      <c r="U30">
        <f t="shared" si="3"/>
        <v>0</v>
      </c>
      <c r="V30">
        <f t="shared" si="4"/>
        <v>0</v>
      </c>
      <c r="W30">
        <f t="shared" si="5"/>
        <v>1</v>
      </c>
    </row>
    <row r="31" spans="1:23">
      <c r="A31" s="6">
        <v>30</v>
      </c>
      <c r="B31" s="7" t="s">
        <v>58</v>
      </c>
      <c r="C31" s="7" t="s">
        <v>11</v>
      </c>
      <c r="D31" s="7" t="s">
        <v>9</v>
      </c>
      <c r="E31" s="7" t="s">
        <v>47</v>
      </c>
      <c r="F31" s="5" t="str">
        <f t="shared" si="0"/>
        <v>Lucknow Super Giants</v>
      </c>
      <c r="G31" s="7" t="s">
        <v>91</v>
      </c>
      <c r="H31" s="7" t="s">
        <v>9</v>
      </c>
      <c r="I31" s="7" t="s">
        <v>11</v>
      </c>
      <c r="J31" s="7" t="s">
        <v>148</v>
      </c>
      <c r="K31" s="7">
        <v>20</v>
      </c>
      <c r="L31" s="7" t="s">
        <v>149</v>
      </c>
      <c r="M31" s="7">
        <v>20</v>
      </c>
      <c r="N31" s="7" t="s">
        <v>9</v>
      </c>
      <c r="O31" s="14" t="s">
        <v>150</v>
      </c>
      <c r="P31" s="13" t="s">
        <v>52</v>
      </c>
      <c r="Q31">
        <f t="shared" si="1"/>
        <v>1</v>
      </c>
      <c r="R31">
        <f t="shared" si="2"/>
        <v>0</v>
      </c>
      <c r="S31" t="s">
        <v>11</v>
      </c>
      <c r="T31">
        <f t="shared" si="6"/>
        <v>0</v>
      </c>
      <c r="U31">
        <f t="shared" si="3"/>
        <v>1</v>
      </c>
      <c r="V31">
        <f t="shared" si="4"/>
        <v>1</v>
      </c>
      <c r="W31">
        <f t="shared" si="5"/>
        <v>0</v>
      </c>
    </row>
    <row r="32" spans="1:23">
      <c r="A32" s="4">
        <v>31</v>
      </c>
      <c r="B32" s="5" t="s">
        <v>97</v>
      </c>
      <c r="C32" s="5" t="s">
        <v>12</v>
      </c>
      <c r="D32" s="5" t="s">
        <v>13</v>
      </c>
      <c r="E32" s="5" t="s">
        <v>109</v>
      </c>
      <c r="F32" s="5" t="str">
        <f t="shared" si="0"/>
        <v>Punjab Kings</v>
      </c>
      <c r="G32" s="5" t="s">
        <v>48</v>
      </c>
      <c r="H32" s="5" t="s">
        <v>13</v>
      </c>
      <c r="I32" s="5" t="s">
        <v>12</v>
      </c>
      <c r="J32" s="5" t="s">
        <v>151</v>
      </c>
      <c r="K32" s="5">
        <v>20</v>
      </c>
      <c r="L32" s="5" t="s">
        <v>152</v>
      </c>
      <c r="M32" s="5">
        <v>20</v>
      </c>
      <c r="N32" s="5" t="s">
        <v>13</v>
      </c>
      <c r="O32" s="12" t="s">
        <v>153</v>
      </c>
      <c r="P32" s="13" t="s">
        <v>52</v>
      </c>
      <c r="Q32">
        <f t="shared" si="1"/>
        <v>0</v>
      </c>
      <c r="R32">
        <f t="shared" si="2"/>
        <v>1</v>
      </c>
      <c r="S32" t="s">
        <v>12</v>
      </c>
      <c r="T32">
        <f t="shared" si="6"/>
        <v>0</v>
      </c>
      <c r="U32">
        <f t="shared" si="3"/>
        <v>1</v>
      </c>
      <c r="V32">
        <f t="shared" si="4"/>
        <v>1</v>
      </c>
      <c r="W32">
        <f t="shared" si="5"/>
        <v>0</v>
      </c>
    </row>
    <row r="33" spans="1:23">
      <c r="A33" s="6">
        <v>32</v>
      </c>
      <c r="B33" s="7" t="s">
        <v>68</v>
      </c>
      <c r="C33" s="7" t="s">
        <v>154</v>
      </c>
      <c r="D33" s="7" t="s">
        <v>14</v>
      </c>
      <c r="E33" s="7" t="s">
        <v>83</v>
      </c>
      <c r="F33" s="5" t="str">
        <f t="shared" si="0"/>
        <v>Royals Challengers Bangalore</v>
      </c>
      <c r="G33" s="7" t="s">
        <v>48</v>
      </c>
      <c r="H33" s="7" t="s">
        <v>15</v>
      </c>
      <c r="I33" s="7" t="s">
        <v>14</v>
      </c>
      <c r="J33" s="7" t="s">
        <v>155</v>
      </c>
      <c r="K33" s="7">
        <v>20</v>
      </c>
      <c r="L33" s="7" t="s">
        <v>156</v>
      </c>
      <c r="M33" s="7">
        <v>20</v>
      </c>
      <c r="N33" s="7" t="s">
        <v>15</v>
      </c>
      <c r="O33" s="14" t="s">
        <v>150</v>
      </c>
      <c r="P33" s="13" t="s">
        <v>52</v>
      </c>
      <c r="Q33">
        <f t="shared" si="1"/>
        <v>0</v>
      </c>
      <c r="R33">
        <v>1</v>
      </c>
      <c r="S33" t="s">
        <v>15</v>
      </c>
      <c r="T33">
        <f t="shared" si="6"/>
        <v>1</v>
      </c>
      <c r="U33">
        <f t="shared" si="3"/>
        <v>0</v>
      </c>
      <c r="V33">
        <f t="shared" si="4"/>
        <v>1</v>
      </c>
      <c r="W33">
        <f t="shared" si="5"/>
        <v>0</v>
      </c>
    </row>
    <row r="34" spans="1:23">
      <c r="A34" s="4">
        <v>33</v>
      </c>
      <c r="B34" s="5" t="s">
        <v>87</v>
      </c>
      <c r="C34" s="5" t="s">
        <v>10</v>
      </c>
      <c r="D34" s="5" t="s">
        <v>3</v>
      </c>
      <c r="E34" s="5" t="s">
        <v>54</v>
      </c>
      <c r="F34" s="5" t="str">
        <f t="shared" ref="F34:F65" si="7">IF(TRIM(E34)=TRIM(C34),D34,C34)</f>
        <v>Chennai Super Kings</v>
      </c>
      <c r="G34" s="5" t="s">
        <v>48</v>
      </c>
      <c r="H34" s="5" t="s">
        <v>3</v>
      </c>
      <c r="I34" s="5" t="s">
        <v>10</v>
      </c>
      <c r="J34" s="5" t="s">
        <v>157</v>
      </c>
      <c r="K34" s="5">
        <v>20</v>
      </c>
      <c r="L34" s="5" t="s">
        <v>158</v>
      </c>
      <c r="M34" s="5">
        <v>20</v>
      </c>
      <c r="N34" s="5" t="s">
        <v>3</v>
      </c>
      <c r="O34" s="12" t="s">
        <v>159</v>
      </c>
      <c r="P34" s="13" t="s">
        <v>52</v>
      </c>
      <c r="Q34">
        <f t="shared" ref="Q34:Q65" si="8">IF(TRIM(E34)=TRIM(N34),1,0)</f>
        <v>0</v>
      </c>
      <c r="R34">
        <f t="shared" ref="R34:R65" si="9">IF(TRIM(F34)=TRIM(N34),1,0)</f>
        <v>1</v>
      </c>
      <c r="S34" t="s">
        <v>10</v>
      </c>
      <c r="T34">
        <f t="shared" si="6"/>
        <v>0</v>
      </c>
      <c r="U34">
        <f t="shared" ref="U34:U69" si="10">IF(N34&lt;&gt;S34,1,0)</f>
        <v>1</v>
      </c>
      <c r="V34">
        <f t="shared" ref="V34:V65" si="11">IF(H34=N34,1,0)</f>
        <v>1</v>
      </c>
      <c r="W34">
        <f t="shared" ref="W34:W65" si="12">IF(H34&lt;&gt;N34,1,0)</f>
        <v>0</v>
      </c>
    </row>
    <row r="35" spans="1:23">
      <c r="A35" s="6">
        <v>34</v>
      </c>
      <c r="B35" s="7" t="s">
        <v>63</v>
      </c>
      <c r="C35" s="7" t="s">
        <v>16</v>
      </c>
      <c r="D35" s="7" t="s">
        <v>6</v>
      </c>
      <c r="E35" s="7" t="s">
        <v>59</v>
      </c>
      <c r="F35" s="5" t="str">
        <f t="shared" si="7"/>
        <v>Sunrisers Hyderabad</v>
      </c>
      <c r="G35" s="7" t="s">
        <v>91</v>
      </c>
      <c r="H35" s="7" t="s">
        <v>6</v>
      </c>
      <c r="I35" s="7" t="s">
        <v>16</v>
      </c>
      <c r="J35" s="7" t="s">
        <v>160</v>
      </c>
      <c r="K35" s="7">
        <v>20</v>
      </c>
      <c r="L35" s="7" t="s">
        <v>161</v>
      </c>
      <c r="M35" s="7">
        <v>20</v>
      </c>
      <c r="N35" s="7" t="s">
        <v>6</v>
      </c>
      <c r="O35" s="14" t="s">
        <v>150</v>
      </c>
      <c r="P35" s="13" t="s">
        <v>52</v>
      </c>
      <c r="Q35">
        <f t="shared" si="8"/>
        <v>1</v>
      </c>
      <c r="R35">
        <f t="shared" si="9"/>
        <v>0</v>
      </c>
      <c r="S35" t="s">
        <v>16</v>
      </c>
      <c r="T35">
        <f t="shared" si="6"/>
        <v>0</v>
      </c>
      <c r="U35">
        <f t="shared" si="10"/>
        <v>1</v>
      </c>
      <c r="V35">
        <f t="shared" si="11"/>
        <v>1</v>
      </c>
      <c r="W35">
        <f t="shared" si="12"/>
        <v>0</v>
      </c>
    </row>
    <row r="36" spans="1:23">
      <c r="A36" s="4">
        <v>35</v>
      </c>
      <c r="B36" s="5" t="s">
        <v>46</v>
      </c>
      <c r="C36" s="5" t="s">
        <v>9</v>
      </c>
      <c r="D36" s="5" t="s">
        <v>12</v>
      </c>
      <c r="E36" s="5" t="s">
        <v>109</v>
      </c>
      <c r="F36" s="5" t="str">
        <f t="shared" si="7"/>
        <v>Gujarat Titans</v>
      </c>
      <c r="G36" s="5" t="s">
        <v>48</v>
      </c>
      <c r="H36" s="5" t="s">
        <v>9</v>
      </c>
      <c r="I36" s="5" t="s">
        <v>12</v>
      </c>
      <c r="J36" s="5" t="s">
        <v>162</v>
      </c>
      <c r="K36" s="5">
        <v>20</v>
      </c>
      <c r="L36" s="5" t="s">
        <v>163</v>
      </c>
      <c r="M36" s="5">
        <v>20</v>
      </c>
      <c r="N36" s="5" t="s">
        <v>9</v>
      </c>
      <c r="O36" s="12" t="s">
        <v>164</v>
      </c>
      <c r="P36" s="13" t="s">
        <v>52</v>
      </c>
      <c r="Q36">
        <f t="shared" si="8"/>
        <v>0</v>
      </c>
      <c r="R36">
        <f t="shared" si="9"/>
        <v>1</v>
      </c>
      <c r="S36" t="s">
        <v>9</v>
      </c>
      <c r="T36">
        <f t="shared" si="6"/>
        <v>1</v>
      </c>
      <c r="U36">
        <f t="shared" si="10"/>
        <v>0</v>
      </c>
      <c r="V36">
        <f t="shared" si="11"/>
        <v>1</v>
      </c>
      <c r="W36">
        <f t="shared" si="12"/>
        <v>0</v>
      </c>
    </row>
    <row r="37" spans="1:23">
      <c r="A37" s="6">
        <v>36</v>
      </c>
      <c r="B37" s="7" t="s">
        <v>68</v>
      </c>
      <c r="C37" s="7" t="s">
        <v>15</v>
      </c>
      <c r="D37" s="7" t="s">
        <v>10</v>
      </c>
      <c r="E37" s="7" t="s">
        <v>69</v>
      </c>
      <c r="F37" s="5" t="str">
        <f t="shared" si="7"/>
        <v>Kolkata Knight Riders</v>
      </c>
      <c r="G37" s="7" t="s">
        <v>48</v>
      </c>
      <c r="H37" s="7" t="s">
        <v>10</v>
      </c>
      <c r="I37" s="7" t="s">
        <v>15</v>
      </c>
      <c r="J37" s="7" t="s">
        <v>165</v>
      </c>
      <c r="K37" s="7">
        <v>20</v>
      </c>
      <c r="L37" s="7" t="s">
        <v>166</v>
      </c>
      <c r="M37" s="7">
        <v>20</v>
      </c>
      <c r="N37" s="7" t="s">
        <v>10</v>
      </c>
      <c r="O37" s="14" t="s">
        <v>167</v>
      </c>
      <c r="P37" s="13" t="s">
        <v>52</v>
      </c>
      <c r="Q37">
        <f t="shared" si="8"/>
        <v>0</v>
      </c>
      <c r="R37">
        <f t="shared" si="9"/>
        <v>1</v>
      </c>
      <c r="S37" t="s">
        <v>15</v>
      </c>
      <c r="T37">
        <f t="shared" si="6"/>
        <v>0</v>
      </c>
      <c r="U37">
        <f t="shared" si="10"/>
        <v>1</v>
      </c>
      <c r="V37">
        <f t="shared" si="11"/>
        <v>1</v>
      </c>
      <c r="W37">
        <f t="shared" si="12"/>
        <v>0</v>
      </c>
    </row>
    <row r="38" spans="1:23">
      <c r="A38" s="4">
        <v>37</v>
      </c>
      <c r="B38" s="5" t="s">
        <v>135</v>
      </c>
      <c r="C38" s="5" t="s">
        <v>14</v>
      </c>
      <c r="D38" s="5" t="s">
        <v>3</v>
      </c>
      <c r="E38" s="5" t="s">
        <v>83</v>
      </c>
      <c r="F38" s="5" t="str">
        <f t="shared" si="7"/>
        <v>Chennai Super Kings</v>
      </c>
      <c r="G38" s="5" t="s">
        <v>91</v>
      </c>
      <c r="H38" s="5" t="s">
        <v>14</v>
      </c>
      <c r="I38" s="5" t="s">
        <v>3</v>
      </c>
      <c r="J38" s="5" t="s">
        <v>168</v>
      </c>
      <c r="K38" s="5">
        <v>20</v>
      </c>
      <c r="L38" s="5" t="s">
        <v>169</v>
      </c>
      <c r="M38" s="5">
        <v>20</v>
      </c>
      <c r="N38" s="5" t="s">
        <v>14</v>
      </c>
      <c r="O38" s="12" t="s">
        <v>170</v>
      </c>
      <c r="P38" s="13" t="s">
        <v>52</v>
      </c>
      <c r="Q38">
        <f t="shared" si="8"/>
        <v>1</v>
      </c>
      <c r="R38">
        <f t="shared" si="9"/>
        <v>0</v>
      </c>
      <c r="S38" t="s">
        <v>14</v>
      </c>
      <c r="T38">
        <f t="shared" ref="T38:T69" si="13">IF(N38=S38,1,0)</f>
        <v>1</v>
      </c>
      <c r="U38">
        <f t="shared" si="10"/>
        <v>0</v>
      </c>
      <c r="V38">
        <f t="shared" si="11"/>
        <v>1</v>
      </c>
      <c r="W38">
        <f t="shared" si="12"/>
        <v>0</v>
      </c>
    </row>
    <row r="39" spans="1:23">
      <c r="A39" s="6">
        <v>38</v>
      </c>
      <c r="B39" s="7" t="s">
        <v>53</v>
      </c>
      <c r="C39" s="7" t="s">
        <v>13</v>
      </c>
      <c r="D39" s="7" t="s">
        <v>11</v>
      </c>
      <c r="E39" s="7" t="s">
        <v>121</v>
      </c>
      <c r="F39" s="5" t="str">
        <f t="shared" si="7"/>
        <v>Lucknow Super Giants</v>
      </c>
      <c r="G39" s="7" t="s">
        <v>48</v>
      </c>
      <c r="H39" s="7" t="s">
        <v>11</v>
      </c>
      <c r="I39" s="7" t="s">
        <v>13</v>
      </c>
      <c r="J39" s="7" t="s">
        <v>171</v>
      </c>
      <c r="K39" s="7">
        <v>20</v>
      </c>
      <c r="L39" s="7" t="s">
        <v>172</v>
      </c>
      <c r="M39" s="7">
        <v>19.5</v>
      </c>
      <c r="N39" s="7" t="s">
        <v>11</v>
      </c>
      <c r="O39" s="14" t="s">
        <v>173</v>
      </c>
      <c r="P39" s="13" t="s">
        <v>52</v>
      </c>
      <c r="Q39">
        <f t="shared" si="8"/>
        <v>0</v>
      </c>
      <c r="R39">
        <f t="shared" si="9"/>
        <v>1</v>
      </c>
      <c r="S39" t="s">
        <v>13</v>
      </c>
      <c r="T39">
        <f t="shared" si="13"/>
        <v>0</v>
      </c>
      <c r="U39">
        <f t="shared" si="10"/>
        <v>1</v>
      </c>
      <c r="V39">
        <f t="shared" si="11"/>
        <v>1</v>
      </c>
      <c r="W39">
        <f t="shared" si="12"/>
        <v>0</v>
      </c>
    </row>
    <row r="40" spans="1:23">
      <c r="A40" s="4">
        <v>39</v>
      </c>
      <c r="B40" s="5" t="s">
        <v>87</v>
      </c>
      <c r="C40" s="5" t="s">
        <v>10</v>
      </c>
      <c r="D40" s="5" t="s">
        <v>9</v>
      </c>
      <c r="E40" s="5" t="s">
        <v>47</v>
      </c>
      <c r="F40" s="5" t="str">
        <f t="shared" si="7"/>
        <v>Kolkata Knight Riders</v>
      </c>
      <c r="G40" s="5" t="s">
        <v>48</v>
      </c>
      <c r="H40" s="5" t="s">
        <v>10</v>
      </c>
      <c r="I40" s="5" t="s">
        <v>9</v>
      </c>
      <c r="J40" s="5" t="s">
        <v>128</v>
      </c>
      <c r="K40" s="5">
        <v>20</v>
      </c>
      <c r="L40" s="5" t="s">
        <v>174</v>
      </c>
      <c r="M40" s="5">
        <v>17.5</v>
      </c>
      <c r="N40" s="5" t="s">
        <v>9</v>
      </c>
      <c r="O40" s="12" t="s">
        <v>101</v>
      </c>
      <c r="P40" s="13" t="s">
        <v>52</v>
      </c>
      <c r="Q40">
        <f t="shared" si="8"/>
        <v>1</v>
      </c>
      <c r="R40">
        <f t="shared" si="9"/>
        <v>0</v>
      </c>
      <c r="S40" t="s">
        <v>10</v>
      </c>
      <c r="T40">
        <f t="shared" si="13"/>
        <v>0</v>
      </c>
      <c r="U40">
        <f t="shared" si="10"/>
        <v>1</v>
      </c>
      <c r="V40">
        <f t="shared" si="11"/>
        <v>0</v>
      </c>
      <c r="W40">
        <f t="shared" si="12"/>
        <v>1</v>
      </c>
    </row>
    <row r="41" spans="1:23">
      <c r="A41" s="6">
        <v>40</v>
      </c>
      <c r="B41" s="7" t="s">
        <v>78</v>
      </c>
      <c r="C41" s="7" t="s">
        <v>6</v>
      </c>
      <c r="D41" s="7" t="s">
        <v>175</v>
      </c>
      <c r="E41" s="7" t="s">
        <v>64</v>
      </c>
      <c r="F41" s="5" t="str">
        <f t="shared" si="7"/>
        <v>Delhi Capitals</v>
      </c>
      <c r="G41" s="7" t="s">
        <v>91</v>
      </c>
      <c r="H41" s="7" t="s">
        <v>16</v>
      </c>
      <c r="I41" s="7" t="s">
        <v>6</v>
      </c>
      <c r="J41" s="7" t="s">
        <v>176</v>
      </c>
      <c r="K41" s="7">
        <v>20</v>
      </c>
      <c r="L41" s="7" t="s">
        <v>177</v>
      </c>
      <c r="M41" s="7">
        <v>20</v>
      </c>
      <c r="N41" s="7" t="s">
        <v>16</v>
      </c>
      <c r="O41" s="14" t="s">
        <v>178</v>
      </c>
      <c r="P41" s="13" t="s">
        <v>52</v>
      </c>
      <c r="Q41">
        <f t="shared" si="8"/>
        <v>1</v>
      </c>
      <c r="R41">
        <f t="shared" si="9"/>
        <v>0</v>
      </c>
      <c r="S41" t="s">
        <v>6</v>
      </c>
      <c r="T41">
        <f t="shared" si="13"/>
        <v>0</v>
      </c>
      <c r="U41">
        <f t="shared" si="10"/>
        <v>1</v>
      </c>
      <c r="V41">
        <f t="shared" si="11"/>
        <v>1</v>
      </c>
      <c r="W41">
        <f t="shared" si="12"/>
        <v>0</v>
      </c>
    </row>
    <row r="42" spans="1:23">
      <c r="A42" s="4">
        <v>41</v>
      </c>
      <c r="B42" s="5" t="s">
        <v>73</v>
      </c>
      <c r="C42" s="5" t="s">
        <v>3</v>
      </c>
      <c r="D42" s="5" t="s">
        <v>13</v>
      </c>
      <c r="E42" s="5" t="s">
        <v>98</v>
      </c>
      <c r="F42" s="5" t="str">
        <f t="shared" si="7"/>
        <v>Punjab Kings</v>
      </c>
      <c r="G42" s="5" t="s">
        <v>91</v>
      </c>
      <c r="H42" s="5" t="s">
        <v>3</v>
      </c>
      <c r="I42" s="5" t="s">
        <v>13</v>
      </c>
      <c r="J42" s="5" t="s">
        <v>179</v>
      </c>
      <c r="K42" s="5">
        <v>20</v>
      </c>
      <c r="L42" s="5" t="s">
        <v>152</v>
      </c>
      <c r="M42" s="5">
        <v>20</v>
      </c>
      <c r="N42" s="5" t="s">
        <v>13</v>
      </c>
      <c r="O42" s="12" t="s">
        <v>144</v>
      </c>
      <c r="P42" s="13" t="s">
        <v>52</v>
      </c>
      <c r="Q42">
        <f t="shared" si="8"/>
        <v>0</v>
      </c>
      <c r="R42">
        <f t="shared" si="9"/>
        <v>1</v>
      </c>
      <c r="S42" t="s">
        <v>3</v>
      </c>
      <c r="T42">
        <f t="shared" si="13"/>
        <v>0</v>
      </c>
      <c r="U42">
        <f t="shared" si="10"/>
        <v>1</v>
      </c>
      <c r="V42">
        <f t="shared" si="11"/>
        <v>0</v>
      </c>
      <c r="W42">
        <f t="shared" si="12"/>
        <v>1</v>
      </c>
    </row>
    <row r="43" spans="1:23">
      <c r="A43" s="6">
        <v>42</v>
      </c>
      <c r="B43" s="7" t="s">
        <v>97</v>
      </c>
      <c r="C43" s="7" t="s">
        <v>12</v>
      </c>
      <c r="D43" s="7" t="s">
        <v>14</v>
      </c>
      <c r="E43" s="7" t="s">
        <v>83</v>
      </c>
      <c r="F43" s="5" t="str">
        <f t="shared" si="7"/>
        <v>Mumbai Indians</v>
      </c>
      <c r="G43" s="7" t="s">
        <v>91</v>
      </c>
      <c r="H43" s="7" t="s">
        <v>14</v>
      </c>
      <c r="I43" s="7" t="s">
        <v>12</v>
      </c>
      <c r="J43" s="7" t="s">
        <v>180</v>
      </c>
      <c r="K43" s="7">
        <v>20</v>
      </c>
      <c r="L43" s="7" t="s">
        <v>181</v>
      </c>
      <c r="M43" s="7">
        <v>19.3</v>
      </c>
      <c r="N43" s="7" t="s">
        <v>12</v>
      </c>
      <c r="O43" s="14" t="s">
        <v>81</v>
      </c>
      <c r="P43" s="13" t="s">
        <v>52</v>
      </c>
      <c r="Q43">
        <f t="shared" si="8"/>
        <v>0</v>
      </c>
      <c r="R43">
        <f t="shared" si="9"/>
        <v>1</v>
      </c>
      <c r="S43" t="s">
        <v>12</v>
      </c>
      <c r="T43">
        <f t="shared" si="13"/>
        <v>1</v>
      </c>
      <c r="U43">
        <f t="shared" si="10"/>
        <v>0</v>
      </c>
      <c r="V43">
        <f t="shared" si="11"/>
        <v>0</v>
      </c>
      <c r="W43">
        <f t="shared" si="12"/>
        <v>1</v>
      </c>
    </row>
    <row r="44" spans="1:23">
      <c r="A44" s="4">
        <v>43</v>
      </c>
      <c r="B44" s="5" t="s">
        <v>58</v>
      </c>
      <c r="C44" s="5" t="s">
        <v>11</v>
      </c>
      <c r="D44" s="5" t="s">
        <v>15</v>
      </c>
      <c r="E44" s="5" t="s">
        <v>69</v>
      </c>
      <c r="F44" s="5" t="str">
        <f t="shared" si="7"/>
        <v>Lucknow Super Giants</v>
      </c>
      <c r="G44" s="5" t="s">
        <v>91</v>
      </c>
      <c r="H44" s="5" t="s">
        <v>15</v>
      </c>
      <c r="I44" s="5" t="s">
        <v>11</v>
      </c>
      <c r="J44" s="5" t="s">
        <v>182</v>
      </c>
      <c r="K44" s="5">
        <v>20</v>
      </c>
      <c r="L44" s="5" t="s">
        <v>183</v>
      </c>
      <c r="M44" s="5">
        <v>19.5</v>
      </c>
      <c r="N44" s="5" t="s">
        <v>15</v>
      </c>
      <c r="O44" s="12" t="s">
        <v>184</v>
      </c>
      <c r="P44" s="13" t="s">
        <v>52</v>
      </c>
      <c r="Q44">
        <f t="shared" si="8"/>
        <v>1</v>
      </c>
      <c r="R44">
        <f t="shared" si="9"/>
        <v>0</v>
      </c>
      <c r="S44" t="s">
        <v>11</v>
      </c>
      <c r="T44">
        <f t="shared" si="13"/>
        <v>0</v>
      </c>
      <c r="U44">
        <f t="shared" si="10"/>
        <v>1</v>
      </c>
      <c r="V44">
        <f t="shared" si="11"/>
        <v>1</v>
      </c>
      <c r="W44">
        <f t="shared" si="12"/>
        <v>0</v>
      </c>
    </row>
    <row r="45" spans="1:23">
      <c r="A45" s="6">
        <v>44</v>
      </c>
      <c r="B45" s="7" t="s">
        <v>46</v>
      </c>
      <c r="C45" s="7" t="s">
        <v>9</v>
      </c>
      <c r="D45" s="7" t="s">
        <v>6</v>
      </c>
      <c r="E45" s="7" t="s">
        <v>59</v>
      </c>
      <c r="F45" s="5" t="str">
        <f t="shared" si="7"/>
        <v>Gujarat Titans</v>
      </c>
      <c r="G45" s="7" t="s">
        <v>91</v>
      </c>
      <c r="H45" s="7" t="s">
        <v>6</v>
      </c>
      <c r="I45" s="7" t="s">
        <v>9</v>
      </c>
      <c r="J45" s="7" t="s">
        <v>185</v>
      </c>
      <c r="K45" s="7">
        <v>20</v>
      </c>
      <c r="L45" s="7" t="s">
        <v>186</v>
      </c>
      <c r="M45" s="7">
        <v>20</v>
      </c>
      <c r="N45" s="7" t="s">
        <v>6</v>
      </c>
      <c r="O45" s="14" t="s">
        <v>86</v>
      </c>
      <c r="P45" s="13" t="s">
        <v>52</v>
      </c>
      <c r="Q45">
        <f t="shared" si="8"/>
        <v>1</v>
      </c>
      <c r="R45">
        <f t="shared" si="9"/>
        <v>0</v>
      </c>
      <c r="S45" t="s">
        <v>9</v>
      </c>
      <c r="T45">
        <f t="shared" si="13"/>
        <v>0</v>
      </c>
      <c r="U45">
        <f t="shared" si="10"/>
        <v>1</v>
      </c>
      <c r="V45">
        <f t="shared" si="11"/>
        <v>1</v>
      </c>
      <c r="W45">
        <f t="shared" si="12"/>
        <v>0</v>
      </c>
    </row>
    <row r="46" spans="1:23">
      <c r="A46" s="4">
        <v>45</v>
      </c>
      <c r="B46" s="5" t="s">
        <v>58</v>
      </c>
      <c r="C46" s="5" t="s">
        <v>11</v>
      </c>
      <c r="D46" s="5" t="s">
        <v>3</v>
      </c>
      <c r="E46" s="5" t="s">
        <v>98</v>
      </c>
      <c r="F46" s="5" t="s">
        <v>263</v>
      </c>
      <c r="G46" s="5" t="s">
        <v>48</v>
      </c>
      <c r="H46" s="5" t="s">
        <v>11</v>
      </c>
      <c r="I46" s="5" t="s">
        <v>3</v>
      </c>
      <c r="J46" s="5" t="s">
        <v>187</v>
      </c>
      <c r="K46" s="5">
        <v>19.2</v>
      </c>
      <c r="L46" s="5" t="s">
        <v>188</v>
      </c>
      <c r="M46" s="5"/>
      <c r="N46" s="5" t="s">
        <v>189</v>
      </c>
      <c r="O46" s="12" t="s">
        <v>188</v>
      </c>
      <c r="P46" s="13" t="s">
        <v>52</v>
      </c>
      <c r="Q46">
        <f t="shared" si="8"/>
        <v>0</v>
      </c>
      <c r="R46">
        <f t="shared" si="9"/>
        <v>0</v>
      </c>
      <c r="S46" t="s">
        <v>11</v>
      </c>
      <c r="T46">
        <f t="shared" si="13"/>
        <v>0</v>
      </c>
      <c r="U46">
        <v>0</v>
      </c>
      <c r="V46">
        <f t="shared" si="11"/>
        <v>0</v>
      </c>
      <c r="W46">
        <v>0</v>
      </c>
    </row>
    <row r="47" spans="1:23">
      <c r="A47" s="6">
        <v>46</v>
      </c>
      <c r="B47" s="7" t="s">
        <v>53</v>
      </c>
      <c r="C47" s="7" t="s">
        <v>13</v>
      </c>
      <c r="D47" s="7" t="s">
        <v>12</v>
      </c>
      <c r="E47" s="7" t="s">
        <v>109</v>
      </c>
      <c r="F47" s="5" t="s">
        <v>13</v>
      </c>
      <c r="G47" s="7" t="s">
        <v>48</v>
      </c>
      <c r="H47" s="7" t="s">
        <v>13</v>
      </c>
      <c r="I47" s="7" t="s">
        <v>12</v>
      </c>
      <c r="J47" s="7" t="s">
        <v>190</v>
      </c>
      <c r="K47" s="7">
        <v>20</v>
      </c>
      <c r="L47" s="7" t="s">
        <v>191</v>
      </c>
      <c r="M47" s="7">
        <v>18.5</v>
      </c>
      <c r="N47" s="7" t="s">
        <v>12</v>
      </c>
      <c r="O47" s="14" t="s">
        <v>81</v>
      </c>
      <c r="P47" s="13" t="s">
        <v>52</v>
      </c>
      <c r="Q47">
        <f t="shared" si="8"/>
        <v>1</v>
      </c>
      <c r="R47">
        <f t="shared" si="9"/>
        <v>0</v>
      </c>
      <c r="S47" t="s">
        <v>13</v>
      </c>
      <c r="T47">
        <f t="shared" si="13"/>
        <v>0</v>
      </c>
      <c r="U47">
        <f t="shared" si="10"/>
        <v>1</v>
      </c>
      <c r="V47">
        <f t="shared" si="11"/>
        <v>0</v>
      </c>
      <c r="W47">
        <f t="shared" si="12"/>
        <v>1</v>
      </c>
    </row>
    <row r="48" spans="1:23">
      <c r="A48" s="4">
        <v>47</v>
      </c>
      <c r="B48" s="5" t="s">
        <v>63</v>
      </c>
      <c r="C48" s="5" t="s">
        <v>16</v>
      </c>
      <c r="D48" s="5" t="s">
        <v>10</v>
      </c>
      <c r="E48" s="5" t="s">
        <v>54</v>
      </c>
      <c r="F48" s="5" t="str" cm="1">
        <f t="array" ref="F48">IF(TRIM(E48)=TRIM(C48),F46D48,C48)</f>
        <v>Sunrisers Hyderabad</v>
      </c>
      <c r="G48" s="5" t="s">
        <v>91</v>
      </c>
      <c r="H48" s="5" t="s">
        <v>10</v>
      </c>
      <c r="I48" s="5" t="s">
        <v>16</v>
      </c>
      <c r="J48" s="5" t="s">
        <v>192</v>
      </c>
      <c r="K48" s="5">
        <v>20</v>
      </c>
      <c r="L48" s="5" t="s">
        <v>193</v>
      </c>
      <c r="M48" s="5">
        <v>20</v>
      </c>
      <c r="N48" s="5" t="s">
        <v>10</v>
      </c>
      <c r="O48" s="12" t="s">
        <v>86</v>
      </c>
      <c r="P48" s="13" t="s">
        <v>52</v>
      </c>
      <c r="Q48">
        <f t="shared" si="8"/>
        <v>1</v>
      </c>
      <c r="R48">
        <f t="shared" si="9"/>
        <v>0</v>
      </c>
      <c r="S48" t="s">
        <v>16</v>
      </c>
      <c r="T48">
        <f t="shared" si="13"/>
        <v>0</v>
      </c>
      <c r="U48">
        <f t="shared" si="10"/>
        <v>1</v>
      </c>
      <c r="V48">
        <f t="shared" si="11"/>
        <v>1</v>
      </c>
      <c r="W48">
        <f t="shared" si="12"/>
        <v>0</v>
      </c>
    </row>
    <row r="49" spans="1:23">
      <c r="A49" s="6">
        <v>48</v>
      </c>
      <c r="B49" s="7" t="s">
        <v>135</v>
      </c>
      <c r="C49" s="7" t="s">
        <v>14</v>
      </c>
      <c r="D49" s="7" t="s">
        <v>9</v>
      </c>
      <c r="E49" s="7" t="s">
        <v>83</v>
      </c>
      <c r="F49" s="5" t="str">
        <f t="shared" si="7"/>
        <v>Gujarat Titans</v>
      </c>
      <c r="G49" s="7" t="s">
        <v>91</v>
      </c>
      <c r="H49" s="7" t="s">
        <v>14</v>
      </c>
      <c r="I49" s="7" t="s">
        <v>9</v>
      </c>
      <c r="J49" s="7" t="s">
        <v>194</v>
      </c>
      <c r="K49" s="7">
        <v>17.5</v>
      </c>
      <c r="L49" s="7" t="s">
        <v>195</v>
      </c>
      <c r="M49" s="7">
        <v>13.5</v>
      </c>
      <c r="N49" s="7" t="s">
        <v>9</v>
      </c>
      <c r="O49" s="14" t="s">
        <v>196</v>
      </c>
      <c r="P49" s="13" t="s">
        <v>52</v>
      </c>
      <c r="Q49">
        <f t="shared" si="8"/>
        <v>0</v>
      </c>
      <c r="R49">
        <f t="shared" si="9"/>
        <v>1</v>
      </c>
      <c r="S49" t="s">
        <v>14</v>
      </c>
      <c r="T49">
        <f t="shared" si="13"/>
        <v>0</v>
      </c>
      <c r="U49">
        <f t="shared" si="10"/>
        <v>1</v>
      </c>
      <c r="V49">
        <f t="shared" si="11"/>
        <v>0</v>
      </c>
      <c r="W49">
        <f t="shared" si="12"/>
        <v>1</v>
      </c>
    </row>
    <row r="50" spans="1:23">
      <c r="A50" s="4">
        <v>49</v>
      </c>
      <c r="B50" s="5" t="s">
        <v>73</v>
      </c>
      <c r="C50" s="5" t="s">
        <v>3</v>
      </c>
      <c r="D50" s="5" t="s">
        <v>12</v>
      </c>
      <c r="E50" s="5" t="s">
        <v>98</v>
      </c>
      <c r="F50" s="5" t="str">
        <f t="shared" si="7"/>
        <v>Mumbai Indians</v>
      </c>
      <c r="G50" s="5" t="s">
        <v>48</v>
      </c>
      <c r="H50" s="5" t="s">
        <v>12</v>
      </c>
      <c r="I50" s="5" t="s">
        <v>3</v>
      </c>
      <c r="J50" s="5" t="s">
        <v>197</v>
      </c>
      <c r="K50" s="5">
        <v>20</v>
      </c>
      <c r="L50" s="5" t="s">
        <v>198</v>
      </c>
      <c r="M50" s="5">
        <v>17.399999999999999</v>
      </c>
      <c r="N50" s="5" t="s">
        <v>3</v>
      </c>
      <c r="O50" s="12" t="s">
        <v>81</v>
      </c>
      <c r="P50" s="13" t="s">
        <v>52</v>
      </c>
      <c r="Q50">
        <f t="shared" si="8"/>
        <v>1</v>
      </c>
      <c r="R50">
        <f t="shared" si="9"/>
        <v>0</v>
      </c>
      <c r="S50" t="s">
        <v>3</v>
      </c>
      <c r="T50">
        <f t="shared" si="13"/>
        <v>1</v>
      </c>
      <c r="U50">
        <f t="shared" si="10"/>
        <v>0</v>
      </c>
      <c r="V50">
        <f t="shared" si="11"/>
        <v>0</v>
      </c>
      <c r="W50">
        <f t="shared" si="12"/>
        <v>1</v>
      </c>
    </row>
    <row r="51" spans="1:23">
      <c r="A51" s="6">
        <v>50</v>
      </c>
      <c r="B51" s="7" t="s">
        <v>78</v>
      </c>
      <c r="C51" s="7" t="s">
        <v>6</v>
      </c>
      <c r="D51" s="7" t="s">
        <v>15</v>
      </c>
      <c r="E51" s="7" t="s">
        <v>69</v>
      </c>
      <c r="F51" s="5" t="str">
        <f t="shared" si="7"/>
        <v>Delhi Capitals</v>
      </c>
      <c r="G51" s="7" t="s">
        <v>91</v>
      </c>
      <c r="H51" s="7" t="s">
        <v>15</v>
      </c>
      <c r="I51" s="7" t="s">
        <v>6</v>
      </c>
      <c r="J51" s="7" t="s">
        <v>199</v>
      </c>
      <c r="K51" s="7">
        <v>20</v>
      </c>
      <c r="L51" s="7" t="s">
        <v>200</v>
      </c>
      <c r="M51" s="7">
        <v>16.399999999999999</v>
      </c>
      <c r="N51" s="7" t="s">
        <v>6</v>
      </c>
      <c r="O51" s="14" t="s">
        <v>101</v>
      </c>
      <c r="P51" s="13" t="s">
        <v>52</v>
      </c>
      <c r="Q51">
        <f t="shared" si="8"/>
        <v>0</v>
      </c>
      <c r="R51">
        <f t="shared" si="9"/>
        <v>1</v>
      </c>
      <c r="S51" t="s">
        <v>6</v>
      </c>
      <c r="T51">
        <f t="shared" si="13"/>
        <v>1</v>
      </c>
      <c r="U51">
        <f t="shared" si="10"/>
        <v>0</v>
      </c>
      <c r="V51">
        <f t="shared" si="11"/>
        <v>0</v>
      </c>
      <c r="W51">
        <f t="shared" si="12"/>
        <v>1</v>
      </c>
    </row>
    <row r="52" spans="1:23">
      <c r="A52" s="4">
        <v>51</v>
      </c>
      <c r="B52" s="5" t="s">
        <v>46</v>
      </c>
      <c r="C52" s="5" t="s">
        <v>9</v>
      </c>
      <c r="D52" s="5" t="s">
        <v>11</v>
      </c>
      <c r="E52" s="5" t="s">
        <v>74</v>
      </c>
      <c r="F52" s="5" t="str">
        <f t="shared" si="7"/>
        <v>Gujarat Titans</v>
      </c>
      <c r="G52" s="5" t="s">
        <v>48</v>
      </c>
      <c r="H52" s="5" t="s">
        <v>9</v>
      </c>
      <c r="I52" s="5" t="s">
        <v>11</v>
      </c>
      <c r="J52" s="5" t="s">
        <v>201</v>
      </c>
      <c r="K52" s="5">
        <v>20</v>
      </c>
      <c r="L52" s="5" t="s">
        <v>70</v>
      </c>
      <c r="M52" s="5">
        <v>20</v>
      </c>
      <c r="N52" s="5" t="s">
        <v>9</v>
      </c>
      <c r="O52" s="12" t="s">
        <v>173</v>
      </c>
      <c r="P52" s="13" t="s">
        <v>52</v>
      </c>
      <c r="Q52">
        <f t="shared" si="8"/>
        <v>0</v>
      </c>
      <c r="R52">
        <f t="shared" si="9"/>
        <v>1</v>
      </c>
      <c r="S52" t="s">
        <v>9</v>
      </c>
      <c r="T52">
        <f t="shared" si="13"/>
        <v>1</v>
      </c>
      <c r="U52">
        <f t="shared" si="10"/>
        <v>0</v>
      </c>
      <c r="V52">
        <f t="shared" si="11"/>
        <v>1</v>
      </c>
      <c r="W52">
        <f t="shared" si="12"/>
        <v>0</v>
      </c>
    </row>
    <row r="53" spans="1:23">
      <c r="A53" s="6">
        <v>52</v>
      </c>
      <c r="B53" s="7" t="s">
        <v>135</v>
      </c>
      <c r="C53" s="7" t="s">
        <v>14</v>
      </c>
      <c r="D53" s="7" t="s">
        <v>16</v>
      </c>
      <c r="E53" s="7" t="s">
        <v>83</v>
      </c>
      <c r="F53" s="5" t="str">
        <f t="shared" si="7"/>
        <v>Sunrisers Hyderabad</v>
      </c>
      <c r="G53" s="7" t="s">
        <v>91</v>
      </c>
      <c r="H53" s="7" t="s">
        <v>14</v>
      </c>
      <c r="I53" s="7" t="s">
        <v>16</v>
      </c>
      <c r="J53" s="7" t="s">
        <v>202</v>
      </c>
      <c r="K53" s="7">
        <v>20</v>
      </c>
      <c r="L53" s="7" t="s">
        <v>203</v>
      </c>
      <c r="M53" s="7">
        <v>20</v>
      </c>
      <c r="N53" s="7" t="s">
        <v>16</v>
      </c>
      <c r="O53" s="14" t="s">
        <v>144</v>
      </c>
      <c r="P53" s="13" t="s">
        <v>52</v>
      </c>
      <c r="Q53">
        <f t="shared" si="8"/>
        <v>0</v>
      </c>
      <c r="R53">
        <f t="shared" si="9"/>
        <v>1</v>
      </c>
      <c r="S53" t="s">
        <v>14</v>
      </c>
      <c r="T53">
        <f t="shared" si="13"/>
        <v>0</v>
      </c>
      <c r="U53">
        <f t="shared" si="10"/>
        <v>1</v>
      </c>
      <c r="V53">
        <f t="shared" si="11"/>
        <v>0</v>
      </c>
      <c r="W53">
        <f t="shared" si="12"/>
        <v>1</v>
      </c>
    </row>
    <row r="54" spans="1:23">
      <c r="A54" s="4">
        <v>53</v>
      </c>
      <c r="B54" s="5" t="s">
        <v>87</v>
      </c>
      <c r="C54" s="5" t="s">
        <v>10</v>
      </c>
      <c r="D54" s="5" t="s">
        <v>13</v>
      </c>
      <c r="E54" s="5" t="s">
        <v>121</v>
      </c>
      <c r="F54" s="5" t="str">
        <f t="shared" si="7"/>
        <v>Kolkata Knight Riders</v>
      </c>
      <c r="G54" s="5" t="s">
        <v>91</v>
      </c>
      <c r="H54" s="5" t="s">
        <v>13</v>
      </c>
      <c r="I54" s="5" t="s">
        <v>10</v>
      </c>
      <c r="J54" s="5" t="s">
        <v>128</v>
      </c>
      <c r="K54" s="5">
        <v>20</v>
      </c>
      <c r="L54" s="5" t="s">
        <v>50</v>
      </c>
      <c r="M54" s="5">
        <v>20</v>
      </c>
      <c r="N54" s="5" t="s">
        <v>10</v>
      </c>
      <c r="O54" s="12" t="s">
        <v>51</v>
      </c>
      <c r="P54" s="13" t="s">
        <v>52</v>
      </c>
      <c r="Q54">
        <f t="shared" si="8"/>
        <v>0</v>
      </c>
      <c r="R54">
        <f t="shared" si="9"/>
        <v>1</v>
      </c>
      <c r="S54" t="s">
        <v>10</v>
      </c>
      <c r="T54">
        <f t="shared" si="13"/>
        <v>1</v>
      </c>
      <c r="U54">
        <f t="shared" si="10"/>
        <v>0</v>
      </c>
      <c r="V54">
        <f t="shared" si="11"/>
        <v>0</v>
      </c>
      <c r="W54">
        <f t="shared" si="12"/>
        <v>1</v>
      </c>
    </row>
    <row r="55" spans="1:23">
      <c r="A55" s="6">
        <v>54</v>
      </c>
      <c r="B55" s="7" t="s">
        <v>97</v>
      </c>
      <c r="C55" s="7" t="s">
        <v>12</v>
      </c>
      <c r="D55" s="7" t="s">
        <v>15</v>
      </c>
      <c r="E55" s="7" t="s">
        <v>109</v>
      </c>
      <c r="F55" s="5" t="str">
        <f t="shared" si="7"/>
        <v>Royal Challengers Bangalore</v>
      </c>
      <c r="G55" s="7" t="s">
        <v>48</v>
      </c>
      <c r="H55" s="7" t="s">
        <v>15</v>
      </c>
      <c r="I55" s="7" t="s">
        <v>12</v>
      </c>
      <c r="J55" s="7" t="s">
        <v>204</v>
      </c>
      <c r="K55" s="7">
        <v>20</v>
      </c>
      <c r="L55" s="7" t="s">
        <v>179</v>
      </c>
      <c r="M55" s="7">
        <v>16.3</v>
      </c>
      <c r="N55" s="7" t="s">
        <v>12</v>
      </c>
      <c r="O55" s="14" t="s">
        <v>81</v>
      </c>
      <c r="P55" s="13" t="s">
        <v>52</v>
      </c>
      <c r="Q55">
        <f t="shared" si="8"/>
        <v>1</v>
      </c>
      <c r="R55">
        <f t="shared" si="9"/>
        <v>0</v>
      </c>
      <c r="S55" t="s">
        <v>12</v>
      </c>
      <c r="T55">
        <f t="shared" si="13"/>
        <v>1</v>
      </c>
      <c r="U55">
        <f t="shared" si="10"/>
        <v>0</v>
      </c>
      <c r="V55">
        <f t="shared" si="11"/>
        <v>0</v>
      </c>
      <c r="W55">
        <f t="shared" si="12"/>
        <v>1</v>
      </c>
    </row>
    <row r="56" spans="1:23">
      <c r="A56" s="4">
        <v>55</v>
      </c>
      <c r="B56" s="5" t="s">
        <v>73</v>
      </c>
      <c r="C56" s="5" t="s">
        <v>3</v>
      </c>
      <c r="D56" s="5" t="s">
        <v>6</v>
      </c>
      <c r="E56" s="5" t="s">
        <v>98</v>
      </c>
      <c r="F56" s="5" t="str">
        <f t="shared" si="7"/>
        <v>Delhi Capitals</v>
      </c>
      <c r="G56" s="5" t="s">
        <v>91</v>
      </c>
      <c r="H56" s="5" t="s">
        <v>3</v>
      </c>
      <c r="I56" s="5" t="s">
        <v>6</v>
      </c>
      <c r="J56" s="5" t="s">
        <v>205</v>
      </c>
      <c r="K56" s="5">
        <v>20</v>
      </c>
      <c r="L56" s="5" t="s">
        <v>206</v>
      </c>
      <c r="M56" s="5">
        <v>20</v>
      </c>
      <c r="N56" s="5" t="s">
        <v>3</v>
      </c>
      <c r="O56" s="12" t="s">
        <v>207</v>
      </c>
      <c r="P56" s="13" t="s">
        <v>52</v>
      </c>
      <c r="Q56">
        <f t="shared" si="8"/>
        <v>1</v>
      </c>
      <c r="R56">
        <f t="shared" si="9"/>
        <v>0</v>
      </c>
      <c r="S56" t="s">
        <v>3</v>
      </c>
      <c r="T56">
        <f t="shared" si="13"/>
        <v>1</v>
      </c>
      <c r="U56">
        <f t="shared" si="10"/>
        <v>0</v>
      </c>
      <c r="V56">
        <f t="shared" si="11"/>
        <v>1</v>
      </c>
      <c r="W56">
        <f t="shared" si="12"/>
        <v>0</v>
      </c>
    </row>
    <row r="57" spans="1:23">
      <c r="A57" s="6">
        <v>56</v>
      </c>
      <c r="B57" s="7" t="s">
        <v>87</v>
      </c>
      <c r="C57" s="7" t="s">
        <v>10</v>
      </c>
      <c r="D57" s="7" t="s">
        <v>14</v>
      </c>
      <c r="E57" s="7" t="s">
        <v>83</v>
      </c>
      <c r="F57" s="5" t="str">
        <f t="shared" si="7"/>
        <v>Kolkata Knight Riders</v>
      </c>
      <c r="G57" s="7" t="s">
        <v>48</v>
      </c>
      <c r="H57" s="7" t="s">
        <v>10</v>
      </c>
      <c r="I57" s="7" t="s">
        <v>14</v>
      </c>
      <c r="J57" s="7" t="s">
        <v>208</v>
      </c>
      <c r="K57" s="7">
        <v>20</v>
      </c>
      <c r="L57" s="7" t="s">
        <v>209</v>
      </c>
      <c r="M57" s="7">
        <v>13.1</v>
      </c>
      <c r="N57" s="7" t="s">
        <v>14</v>
      </c>
      <c r="O57" s="14" t="s">
        <v>196</v>
      </c>
      <c r="P57" s="13" t="s">
        <v>52</v>
      </c>
      <c r="Q57">
        <f t="shared" si="8"/>
        <v>1</v>
      </c>
      <c r="R57">
        <f t="shared" si="9"/>
        <v>0</v>
      </c>
      <c r="S57" t="s">
        <v>10</v>
      </c>
      <c r="T57">
        <f t="shared" si="13"/>
        <v>0</v>
      </c>
      <c r="U57">
        <f t="shared" si="10"/>
        <v>1</v>
      </c>
      <c r="V57">
        <f t="shared" si="11"/>
        <v>0</v>
      </c>
      <c r="W57">
        <f t="shared" si="12"/>
        <v>1</v>
      </c>
    </row>
    <row r="58" spans="1:23">
      <c r="A58" s="4">
        <v>57</v>
      </c>
      <c r="B58" s="5" t="s">
        <v>97</v>
      </c>
      <c r="C58" s="5" t="s">
        <v>12</v>
      </c>
      <c r="D58" s="5" t="s">
        <v>9</v>
      </c>
      <c r="E58" s="5" t="s">
        <v>47</v>
      </c>
      <c r="F58" s="5" t="str">
        <f t="shared" si="7"/>
        <v>Mumbai Indians</v>
      </c>
      <c r="G58" s="5" t="s">
        <v>48</v>
      </c>
      <c r="H58" s="5" t="s">
        <v>12</v>
      </c>
      <c r="I58" s="5" t="s">
        <v>9</v>
      </c>
      <c r="J58" s="5" t="s">
        <v>210</v>
      </c>
      <c r="K58" s="5">
        <v>20</v>
      </c>
      <c r="L58" s="5" t="s">
        <v>211</v>
      </c>
      <c r="M58" s="5">
        <v>20</v>
      </c>
      <c r="N58" s="5" t="s">
        <v>12</v>
      </c>
      <c r="O58" s="12" t="s">
        <v>207</v>
      </c>
      <c r="P58" s="13" t="s">
        <v>52</v>
      </c>
      <c r="Q58">
        <f t="shared" si="8"/>
        <v>0</v>
      </c>
      <c r="R58">
        <f t="shared" si="9"/>
        <v>1</v>
      </c>
      <c r="S58" t="s">
        <v>12</v>
      </c>
      <c r="T58">
        <f t="shared" si="13"/>
        <v>1</v>
      </c>
      <c r="U58">
        <f t="shared" si="10"/>
        <v>0</v>
      </c>
      <c r="V58">
        <f t="shared" si="11"/>
        <v>1</v>
      </c>
      <c r="W58">
        <f t="shared" si="12"/>
        <v>0</v>
      </c>
    </row>
    <row r="59" spans="1:23">
      <c r="A59" s="6">
        <v>58</v>
      </c>
      <c r="B59" s="7" t="s">
        <v>63</v>
      </c>
      <c r="C59" s="7" t="s">
        <v>16</v>
      </c>
      <c r="D59" s="7" t="s">
        <v>11</v>
      </c>
      <c r="E59" s="7" t="s">
        <v>64</v>
      </c>
      <c r="F59" s="5" t="str">
        <f t="shared" si="7"/>
        <v>Lucknow Super Giants</v>
      </c>
      <c r="G59" s="7" t="s">
        <v>91</v>
      </c>
      <c r="H59" s="7" t="s">
        <v>16</v>
      </c>
      <c r="I59" s="7" t="s">
        <v>11</v>
      </c>
      <c r="J59" s="7" t="s">
        <v>156</v>
      </c>
      <c r="K59" s="7">
        <v>20</v>
      </c>
      <c r="L59" s="7" t="s">
        <v>212</v>
      </c>
      <c r="M59" s="7">
        <v>19.2</v>
      </c>
      <c r="N59" s="7" t="s">
        <v>11</v>
      </c>
      <c r="O59" s="14" t="s">
        <v>101</v>
      </c>
      <c r="P59" s="13" t="s">
        <v>52</v>
      </c>
      <c r="Q59">
        <f t="shared" si="8"/>
        <v>0</v>
      </c>
      <c r="R59">
        <f t="shared" si="9"/>
        <v>1</v>
      </c>
      <c r="S59" t="s">
        <v>16</v>
      </c>
      <c r="T59">
        <f t="shared" si="13"/>
        <v>0</v>
      </c>
      <c r="U59">
        <f t="shared" si="10"/>
        <v>1</v>
      </c>
      <c r="V59">
        <f t="shared" si="11"/>
        <v>0</v>
      </c>
      <c r="W59">
        <f t="shared" si="12"/>
        <v>1</v>
      </c>
    </row>
    <row r="60" spans="1:23">
      <c r="A60" s="4">
        <v>59</v>
      </c>
      <c r="B60" s="5" t="s">
        <v>78</v>
      </c>
      <c r="C60" s="5" t="s">
        <v>6</v>
      </c>
      <c r="D60" s="5" t="s">
        <v>13</v>
      </c>
      <c r="E60" s="5" t="s">
        <v>59</v>
      </c>
      <c r="F60" s="5" t="str">
        <f t="shared" si="7"/>
        <v>Punjab Kings</v>
      </c>
      <c r="G60" s="5" t="s">
        <v>48</v>
      </c>
      <c r="H60" s="5" t="s">
        <v>13</v>
      </c>
      <c r="I60" s="5" t="s">
        <v>6</v>
      </c>
      <c r="J60" s="5" t="s">
        <v>213</v>
      </c>
      <c r="K60" s="5">
        <v>20</v>
      </c>
      <c r="L60" s="5" t="s">
        <v>214</v>
      </c>
      <c r="M60" s="5">
        <v>20</v>
      </c>
      <c r="N60" s="5" t="s">
        <v>13</v>
      </c>
      <c r="O60" s="12" t="s">
        <v>215</v>
      </c>
      <c r="P60" s="13" t="s">
        <v>52</v>
      </c>
      <c r="Q60">
        <f t="shared" si="8"/>
        <v>0</v>
      </c>
      <c r="R60">
        <f t="shared" si="9"/>
        <v>1</v>
      </c>
      <c r="S60" t="s">
        <v>6</v>
      </c>
      <c r="T60">
        <f t="shared" si="13"/>
        <v>0</v>
      </c>
      <c r="U60">
        <f t="shared" si="10"/>
        <v>1</v>
      </c>
      <c r="V60">
        <f t="shared" si="11"/>
        <v>1</v>
      </c>
      <c r="W60">
        <f t="shared" si="12"/>
        <v>0</v>
      </c>
    </row>
    <row r="61" spans="1:23">
      <c r="A61" s="6">
        <v>60</v>
      </c>
      <c r="B61" s="7" t="s">
        <v>135</v>
      </c>
      <c r="C61" s="7" t="s">
        <v>14</v>
      </c>
      <c r="D61" s="7" t="s">
        <v>15</v>
      </c>
      <c r="E61" s="7" t="s">
        <v>69</v>
      </c>
      <c r="F61" s="5" t="str">
        <f t="shared" si="7"/>
        <v>Rajasthan Royals</v>
      </c>
      <c r="G61" s="7" t="s">
        <v>91</v>
      </c>
      <c r="H61" s="7" t="s">
        <v>15</v>
      </c>
      <c r="I61" s="7" t="s">
        <v>14</v>
      </c>
      <c r="J61" s="7" t="s">
        <v>216</v>
      </c>
      <c r="K61" s="7">
        <v>20</v>
      </c>
      <c r="L61" s="7" t="s">
        <v>217</v>
      </c>
      <c r="M61" s="7">
        <v>10.3</v>
      </c>
      <c r="N61" s="7" t="s">
        <v>15</v>
      </c>
      <c r="O61" s="14" t="s">
        <v>218</v>
      </c>
      <c r="P61" s="13" t="s">
        <v>52</v>
      </c>
      <c r="Q61">
        <f t="shared" si="8"/>
        <v>1</v>
      </c>
      <c r="R61">
        <f t="shared" si="9"/>
        <v>0</v>
      </c>
      <c r="S61" t="s">
        <v>14</v>
      </c>
      <c r="T61">
        <f t="shared" si="13"/>
        <v>0</v>
      </c>
      <c r="U61">
        <f t="shared" si="10"/>
        <v>1</v>
      </c>
      <c r="V61">
        <f t="shared" si="11"/>
        <v>1</v>
      </c>
      <c r="W61">
        <f t="shared" si="12"/>
        <v>0</v>
      </c>
    </row>
    <row r="62" spans="1:23">
      <c r="A62" s="4">
        <v>61</v>
      </c>
      <c r="B62" s="5" t="s">
        <v>73</v>
      </c>
      <c r="C62" s="5" t="s">
        <v>3</v>
      </c>
      <c r="D62" s="5" t="s">
        <v>10</v>
      </c>
      <c r="E62" s="5" t="s">
        <v>98</v>
      </c>
      <c r="F62" s="5" t="str">
        <f t="shared" si="7"/>
        <v>Kolkata Knight Riders</v>
      </c>
      <c r="G62" s="5" t="s">
        <v>91</v>
      </c>
      <c r="H62" s="5" t="s">
        <v>3</v>
      </c>
      <c r="I62" s="5" t="s">
        <v>10</v>
      </c>
      <c r="J62" s="5" t="s">
        <v>137</v>
      </c>
      <c r="K62" s="5">
        <v>20</v>
      </c>
      <c r="L62" s="5" t="s">
        <v>219</v>
      </c>
      <c r="M62" s="5">
        <v>18.3</v>
      </c>
      <c r="N62" s="5" t="s">
        <v>10</v>
      </c>
      <c r="O62" s="12" t="s">
        <v>81</v>
      </c>
      <c r="P62" s="13" t="s">
        <v>52</v>
      </c>
      <c r="Q62">
        <f t="shared" si="8"/>
        <v>0</v>
      </c>
      <c r="R62">
        <f t="shared" si="9"/>
        <v>1</v>
      </c>
      <c r="S62" t="s">
        <v>3</v>
      </c>
      <c r="T62">
        <f t="shared" si="13"/>
        <v>0</v>
      </c>
      <c r="U62">
        <f t="shared" si="10"/>
        <v>1</v>
      </c>
      <c r="V62">
        <f t="shared" si="11"/>
        <v>0</v>
      </c>
      <c r="W62">
        <f t="shared" si="12"/>
        <v>1</v>
      </c>
    </row>
    <row r="63" spans="1:23">
      <c r="A63" s="6">
        <v>62</v>
      </c>
      <c r="B63" s="7" t="s">
        <v>46</v>
      </c>
      <c r="C63" s="7" t="s">
        <v>9</v>
      </c>
      <c r="D63" s="7" t="s">
        <v>16</v>
      </c>
      <c r="E63" s="7" t="s">
        <v>64</v>
      </c>
      <c r="F63" s="5" t="str">
        <f t="shared" si="7"/>
        <v>Gujarat Titans</v>
      </c>
      <c r="G63" s="7" t="s">
        <v>48</v>
      </c>
      <c r="H63" s="7" t="s">
        <v>9</v>
      </c>
      <c r="I63" s="7" t="s">
        <v>16</v>
      </c>
      <c r="J63" s="7" t="s">
        <v>220</v>
      </c>
      <c r="K63" s="7">
        <v>20</v>
      </c>
      <c r="L63" s="7" t="s">
        <v>221</v>
      </c>
      <c r="M63" s="7">
        <v>20</v>
      </c>
      <c r="N63" s="7" t="s">
        <v>9</v>
      </c>
      <c r="O63" s="14" t="s">
        <v>222</v>
      </c>
      <c r="P63" s="13" t="s">
        <v>52</v>
      </c>
      <c r="Q63">
        <f t="shared" si="8"/>
        <v>0</v>
      </c>
      <c r="R63">
        <f t="shared" si="9"/>
        <v>1</v>
      </c>
      <c r="S63" t="s">
        <v>9</v>
      </c>
      <c r="T63">
        <f t="shared" si="13"/>
        <v>1</v>
      </c>
      <c r="U63">
        <f t="shared" si="10"/>
        <v>0</v>
      </c>
      <c r="V63">
        <f t="shared" si="11"/>
        <v>1</v>
      </c>
      <c r="W63">
        <f t="shared" si="12"/>
        <v>0</v>
      </c>
    </row>
    <row r="64" spans="1:23">
      <c r="A64" s="8">
        <v>63</v>
      </c>
      <c r="B64" s="9" t="s">
        <v>58</v>
      </c>
      <c r="C64" s="9" t="s">
        <v>12</v>
      </c>
      <c r="D64" s="9" t="s">
        <v>11</v>
      </c>
      <c r="E64" s="9" t="s">
        <v>109</v>
      </c>
      <c r="F64" s="5" t="str">
        <f t="shared" si="7"/>
        <v>Lucknow Super Giants</v>
      </c>
      <c r="G64" s="9" t="s">
        <v>48</v>
      </c>
      <c r="H64" s="9" t="s">
        <v>11</v>
      </c>
      <c r="I64" s="9" t="s">
        <v>12</v>
      </c>
      <c r="J64" s="9" t="s">
        <v>223</v>
      </c>
      <c r="K64" s="9">
        <v>20</v>
      </c>
      <c r="L64" s="9" t="s">
        <v>224</v>
      </c>
      <c r="M64" s="9">
        <v>20</v>
      </c>
      <c r="N64" s="9" t="s">
        <v>11</v>
      </c>
      <c r="O64" s="15" t="s">
        <v>86</v>
      </c>
      <c r="P64" s="13" t="s">
        <v>52</v>
      </c>
      <c r="Q64">
        <f t="shared" si="8"/>
        <v>0</v>
      </c>
      <c r="R64">
        <f t="shared" si="9"/>
        <v>1</v>
      </c>
      <c r="S64" t="s">
        <v>11</v>
      </c>
      <c r="T64">
        <f t="shared" si="13"/>
        <v>1</v>
      </c>
      <c r="U64">
        <f t="shared" si="10"/>
        <v>0</v>
      </c>
      <c r="V64">
        <f t="shared" si="11"/>
        <v>1</v>
      </c>
      <c r="W64">
        <f t="shared" si="12"/>
        <v>0</v>
      </c>
    </row>
    <row r="65" spans="1:23">
      <c r="A65" s="16">
        <v>64</v>
      </c>
      <c r="B65" t="s">
        <v>225</v>
      </c>
      <c r="C65" t="s">
        <v>6</v>
      </c>
      <c r="D65" t="s">
        <v>13</v>
      </c>
      <c r="E65" t="s">
        <v>121</v>
      </c>
      <c r="F65" s="5" t="str">
        <f t="shared" si="7"/>
        <v>Delhi Capitals</v>
      </c>
      <c r="G65" t="s">
        <v>48</v>
      </c>
      <c r="H65" t="s">
        <v>6</v>
      </c>
      <c r="I65" t="s">
        <v>13</v>
      </c>
      <c r="J65" t="s">
        <v>226</v>
      </c>
      <c r="K65">
        <v>20</v>
      </c>
      <c r="L65" t="s">
        <v>227</v>
      </c>
      <c r="M65">
        <v>20</v>
      </c>
      <c r="N65" t="s">
        <v>6</v>
      </c>
      <c r="O65" s="18" t="s">
        <v>228</v>
      </c>
      <c r="P65" s="13" t="s">
        <v>52</v>
      </c>
      <c r="Q65">
        <f t="shared" si="8"/>
        <v>0</v>
      </c>
      <c r="R65">
        <f t="shared" si="9"/>
        <v>1</v>
      </c>
      <c r="S65" t="s">
        <v>13</v>
      </c>
      <c r="T65">
        <f t="shared" si="13"/>
        <v>0</v>
      </c>
      <c r="U65">
        <f t="shared" si="10"/>
        <v>1</v>
      </c>
      <c r="V65">
        <f t="shared" si="11"/>
        <v>1</v>
      </c>
      <c r="W65">
        <f t="shared" si="12"/>
        <v>0</v>
      </c>
    </row>
    <row r="66" spans="1:23">
      <c r="A66" s="17">
        <v>65</v>
      </c>
      <c r="B66" s="13" t="s">
        <v>63</v>
      </c>
      <c r="C66" s="13" t="s">
        <v>16</v>
      </c>
      <c r="D66" s="13" t="s">
        <v>15</v>
      </c>
      <c r="E66" s="13" t="s">
        <v>69</v>
      </c>
      <c r="F66" s="5" t="str">
        <f t="shared" ref="F66:F97" si="14">IF(TRIM(E66)=TRIM(C66),D66,C66)</f>
        <v>Sunrisers Hyderabad</v>
      </c>
      <c r="G66" s="13" t="s">
        <v>48</v>
      </c>
      <c r="H66" s="13" t="s">
        <v>16</v>
      </c>
      <c r="I66" s="13" t="s">
        <v>15</v>
      </c>
      <c r="J66" s="13" t="s">
        <v>229</v>
      </c>
      <c r="K66" s="13">
        <v>20</v>
      </c>
      <c r="L66" s="13" t="s">
        <v>230</v>
      </c>
      <c r="M66" s="13">
        <v>20</v>
      </c>
      <c r="N66" s="13" t="s">
        <v>15</v>
      </c>
      <c r="O66" s="19" t="s">
        <v>72</v>
      </c>
      <c r="P66" s="13" t="s">
        <v>52</v>
      </c>
      <c r="Q66">
        <f t="shared" ref="Q66:Q75" si="15">IF(TRIM(E66)=TRIM(N66),1,0)</f>
        <v>1</v>
      </c>
      <c r="R66">
        <f t="shared" ref="R66:R75" si="16">IF(TRIM(F66)=TRIM(N66),1,0)</f>
        <v>0</v>
      </c>
      <c r="S66" t="s">
        <v>16</v>
      </c>
      <c r="T66">
        <f t="shared" si="13"/>
        <v>0</v>
      </c>
      <c r="U66">
        <f t="shared" si="10"/>
        <v>1</v>
      </c>
      <c r="V66">
        <f t="shared" ref="V66:V75" si="17">IF(H66=N66,1,0)</f>
        <v>0</v>
      </c>
      <c r="W66">
        <f t="shared" ref="W66:W75" si="18">IF(H66&lt;&gt;N66,1,0)</f>
        <v>1</v>
      </c>
    </row>
    <row r="67" spans="1:23">
      <c r="A67" s="16">
        <v>66</v>
      </c>
      <c r="B67" t="s">
        <v>225</v>
      </c>
      <c r="C67" t="s">
        <v>13</v>
      </c>
      <c r="D67" t="s">
        <v>14</v>
      </c>
      <c r="E67" t="s">
        <v>83</v>
      </c>
      <c r="F67" s="5" t="str">
        <f t="shared" si="14"/>
        <v>Punjab Kings</v>
      </c>
      <c r="G67" t="s">
        <v>48</v>
      </c>
      <c r="H67" t="s">
        <v>13</v>
      </c>
      <c r="I67" t="s">
        <v>14</v>
      </c>
      <c r="J67" t="s">
        <v>231</v>
      </c>
      <c r="K67">
        <v>20</v>
      </c>
      <c r="L67" t="s">
        <v>232</v>
      </c>
      <c r="M67">
        <v>19.399999999999999</v>
      </c>
      <c r="N67" t="s">
        <v>14</v>
      </c>
      <c r="O67" s="18" t="s">
        <v>144</v>
      </c>
      <c r="P67" s="13" t="s">
        <v>52</v>
      </c>
      <c r="Q67">
        <f t="shared" si="15"/>
        <v>1</v>
      </c>
      <c r="R67">
        <f t="shared" si="16"/>
        <v>0</v>
      </c>
      <c r="S67" t="s">
        <v>13</v>
      </c>
      <c r="T67">
        <f t="shared" si="13"/>
        <v>0</v>
      </c>
      <c r="U67">
        <f t="shared" si="10"/>
        <v>1</v>
      </c>
      <c r="V67">
        <f t="shared" si="17"/>
        <v>0</v>
      </c>
      <c r="W67">
        <f t="shared" si="18"/>
        <v>1</v>
      </c>
    </row>
    <row r="68" spans="1:23">
      <c r="A68" s="17">
        <v>67</v>
      </c>
      <c r="B68" s="13" t="s">
        <v>78</v>
      </c>
      <c r="C68" s="13" t="s">
        <v>3</v>
      </c>
      <c r="D68" s="13" t="s">
        <v>6</v>
      </c>
      <c r="E68" s="13" t="s">
        <v>98</v>
      </c>
      <c r="F68" s="5" t="str">
        <f t="shared" si="14"/>
        <v>Delhi Capitals</v>
      </c>
      <c r="G68" s="13" t="s">
        <v>91</v>
      </c>
      <c r="H68" s="13" t="s">
        <v>3</v>
      </c>
      <c r="I68" s="13" t="s">
        <v>6</v>
      </c>
      <c r="J68" s="13" t="s">
        <v>233</v>
      </c>
      <c r="K68" s="13">
        <v>20</v>
      </c>
      <c r="L68" s="13" t="s">
        <v>234</v>
      </c>
      <c r="M68" s="13">
        <v>20</v>
      </c>
      <c r="N68" s="13" t="s">
        <v>3</v>
      </c>
      <c r="O68" s="19" t="s">
        <v>235</v>
      </c>
      <c r="P68" s="13" t="s">
        <v>52</v>
      </c>
      <c r="Q68">
        <f t="shared" si="15"/>
        <v>1</v>
      </c>
      <c r="R68">
        <f t="shared" si="16"/>
        <v>0</v>
      </c>
      <c r="S68" t="s">
        <v>6</v>
      </c>
      <c r="T68">
        <f t="shared" si="13"/>
        <v>0</v>
      </c>
      <c r="U68">
        <f t="shared" si="10"/>
        <v>1</v>
      </c>
      <c r="V68">
        <f t="shared" si="17"/>
        <v>1</v>
      </c>
      <c r="W68">
        <f t="shared" si="18"/>
        <v>0</v>
      </c>
    </row>
    <row r="69" spans="1:23">
      <c r="A69" s="16">
        <v>68</v>
      </c>
      <c r="B69" t="s">
        <v>87</v>
      </c>
      <c r="C69" t="s">
        <v>10</v>
      </c>
      <c r="D69" t="s">
        <v>11</v>
      </c>
      <c r="E69" t="s">
        <v>54</v>
      </c>
      <c r="F69" s="5" t="str">
        <f t="shared" si="14"/>
        <v>Lucknow Super Giants</v>
      </c>
      <c r="G69" t="s">
        <v>48</v>
      </c>
      <c r="H69" t="s">
        <v>11</v>
      </c>
      <c r="I69" t="s">
        <v>10</v>
      </c>
      <c r="J69" t="s">
        <v>236</v>
      </c>
      <c r="K69">
        <v>20</v>
      </c>
      <c r="L69" t="s">
        <v>237</v>
      </c>
      <c r="M69">
        <v>20</v>
      </c>
      <c r="N69" t="s">
        <v>11</v>
      </c>
      <c r="O69" s="18" t="s">
        <v>238</v>
      </c>
      <c r="P69" s="13" t="s">
        <v>52</v>
      </c>
      <c r="Q69">
        <f t="shared" si="15"/>
        <v>0</v>
      </c>
      <c r="R69">
        <f t="shared" si="16"/>
        <v>1</v>
      </c>
      <c r="S69" t="s">
        <v>10</v>
      </c>
      <c r="T69">
        <f t="shared" si="13"/>
        <v>0</v>
      </c>
      <c r="U69">
        <f t="shared" si="10"/>
        <v>1</v>
      </c>
      <c r="V69">
        <f t="shared" si="17"/>
        <v>1</v>
      </c>
      <c r="W69">
        <f t="shared" si="18"/>
        <v>0</v>
      </c>
    </row>
    <row r="70" spans="1:23">
      <c r="A70" s="17">
        <v>69</v>
      </c>
      <c r="B70" s="13" t="s">
        <v>97</v>
      </c>
      <c r="C70" s="13" t="s">
        <v>12</v>
      </c>
      <c r="D70" s="13" t="s">
        <v>16</v>
      </c>
      <c r="E70" s="13" t="s">
        <v>109</v>
      </c>
      <c r="F70" s="5" t="str">
        <f t="shared" si="14"/>
        <v>Sunrisers Hyderabad</v>
      </c>
      <c r="G70" s="13" t="s">
        <v>48</v>
      </c>
      <c r="H70" s="13" t="s">
        <v>16</v>
      </c>
      <c r="I70" s="13" t="s">
        <v>12</v>
      </c>
      <c r="J70" s="13" t="s">
        <v>239</v>
      </c>
      <c r="K70" s="13">
        <v>20</v>
      </c>
      <c r="L70" s="13" t="s">
        <v>240</v>
      </c>
      <c r="M70" s="13">
        <v>20</v>
      </c>
      <c r="N70" s="13" t="s">
        <v>241</v>
      </c>
      <c r="O70" s="19" t="s">
        <v>242</v>
      </c>
      <c r="P70" s="13" t="s">
        <v>52</v>
      </c>
      <c r="Q70">
        <f t="shared" si="15"/>
        <v>1</v>
      </c>
      <c r="R70">
        <f t="shared" si="16"/>
        <v>0</v>
      </c>
      <c r="S70" t="s">
        <v>12</v>
      </c>
      <c r="T70">
        <f t="shared" ref="T70:T101" si="19">IF(N70=S70,1,0)</f>
        <v>1</v>
      </c>
      <c r="U70">
        <v>0</v>
      </c>
      <c r="V70">
        <f t="shared" si="17"/>
        <v>0</v>
      </c>
      <c r="W70">
        <f t="shared" si="18"/>
        <v>1</v>
      </c>
    </row>
    <row r="71" spans="1:23">
      <c r="A71" s="16">
        <v>70</v>
      </c>
      <c r="B71" t="s">
        <v>68</v>
      </c>
      <c r="C71" t="s">
        <v>15</v>
      </c>
      <c r="D71" t="s">
        <v>9</v>
      </c>
      <c r="E71" t="s">
        <v>47</v>
      </c>
      <c r="F71" s="5" t="str">
        <f t="shared" si="14"/>
        <v>Royal Challengers Bangalore</v>
      </c>
      <c r="G71" t="s">
        <v>48</v>
      </c>
      <c r="H71" t="s">
        <v>15</v>
      </c>
      <c r="I71" t="s">
        <v>9</v>
      </c>
      <c r="J71" t="s">
        <v>243</v>
      </c>
      <c r="K71">
        <v>20</v>
      </c>
      <c r="L71" t="s">
        <v>244</v>
      </c>
      <c r="M71">
        <v>19.100000000000001</v>
      </c>
      <c r="N71" t="s">
        <v>9</v>
      </c>
      <c r="O71" s="18" t="s">
        <v>245</v>
      </c>
      <c r="P71" s="13" t="s">
        <v>52</v>
      </c>
      <c r="Q71">
        <f t="shared" si="15"/>
        <v>1</v>
      </c>
      <c r="R71">
        <f t="shared" si="16"/>
        <v>0</v>
      </c>
      <c r="S71" t="s">
        <v>15</v>
      </c>
      <c r="T71">
        <f t="shared" si="19"/>
        <v>0</v>
      </c>
      <c r="U71">
        <f>IF(N71&lt;&gt;S71,1,0)</f>
        <v>1</v>
      </c>
      <c r="V71">
        <f t="shared" si="17"/>
        <v>0</v>
      </c>
      <c r="W71">
        <f t="shared" si="18"/>
        <v>1</v>
      </c>
    </row>
    <row r="72" spans="1:23">
      <c r="A72" s="17">
        <v>71</v>
      </c>
      <c r="B72" s="13" t="s">
        <v>73</v>
      </c>
      <c r="C72" s="13" t="s">
        <v>3</v>
      </c>
      <c r="D72" s="13" t="s">
        <v>9</v>
      </c>
      <c r="E72" s="13" t="s">
        <v>47</v>
      </c>
      <c r="F72" s="5" t="str">
        <f t="shared" si="14"/>
        <v>Chennai Super Kings</v>
      </c>
      <c r="G72" s="13" t="s">
        <v>48</v>
      </c>
      <c r="H72" s="13" t="s">
        <v>3</v>
      </c>
      <c r="I72" s="13" t="s">
        <v>9</v>
      </c>
      <c r="J72" s="13" t="s">
        <v>246</v>
      </c>
      <c r="K72" s="13">
        <v>20</v>
      </c>
      <c r="L72" s="13" t="s">
        <v>247</v>
      </c>
      <c r="M72" s="13">
        <v>20</v>
      </c>
      <c r="N72" s="13" t="s">
        <v>3</v>
      </c>
      <c r="O72" s="19" t="s">
        <v>228</v>
      </c>
      <c r="P72" s="13" t="s">
        <v>248</v>
      </c>
      <c r="Q72">
        <f t="shared" si="15"/>
        <v>0</v>
      </c>
      <c r="R72">
        <f t="shared" si="16"/>
        <v>1</v>
      </c>
      <c r="S72" t="s">
        <v>3</v>
      </c>
      <c r="T72" t="s">
        <v>249</v>
      </c>
      <c r="U72" t="s">
        <v>249</v>
      </c>
      <c r="V72">
        <f t="shared" si="17"/>
        <v>1</v>
      </c>
      <c r="W72">
        <f t="shared" si="18"/>
        <v>0</v>
      </c>
    </row>
    <row r="73" spans="1:23">
      <c r="A73" s="16">
        <v>72</v>
      </c>
      <c r="B73" t="s">
        <v>73</v>
      </c>
      <c r="C73" t="s">
        <v>11</v>
      </c>
      <c r="D73" t="s">
        <v>12</v>
      </c>
      <c r="E73" t="s">
        <v>109</v>
      </c>
      <c r="F73" s="5" t="str">
        <f t="shared" si="14"/>
        <v>Lucknow Super Giants</v>
      </c>
      <c r="G73" t="s">
        <v>91</v>
      </c>
      <c r="H73" t="s">
        <v>12</v>
      </c>
      <c r="I73" t="s">
        <v>11</v>
      </c>
      <c r="J73" t="s">
        <v>250</v>
      </c>
      <c r="K73">
        <v>20</v>
      </c>
      <c r="L73" t="s">
        <v>251</v>
      </c>
      <c r="M73">
        <v>16.3</v>
      </c>
      <c r="N73" t="s">
        <v>12</v>
      </c>
      <c r="O73" s="18" t="s">
        <v>90</v>
      </c>
      <c r="P73" s="13" t="s">
        <v>252</v>
      </c>
      <c r="Q73">
        <f t="shared" si="15"/>
        <v>1</v>
      </c>
      <c r="R73">
        <f t="shared" si="16"/>
        <v>0</v>
      </c>
      <c r="S73" t="s">
        <v>3</v>
      </c>
      <c r="T73" t="s">
        <v>249</v>
      </c>
      <c r="U73" t="s">
        <v>249</v>
      </c>
      <c r="V73">
        <f t="shared" si="17"/>
        <v>1</v>
      </c>
      <c r="W73">
        <f t="shared" si="18"/>
        <v>0</v>
      </c>
    </row>
    <row r="74" spans="1:23">
      <c r="A74" s="17">
        <v>73</v>
      </c>
      <c r="B74" s="13" t="s">
        <v>46</v>
      </c>
      <c r="C74" s="13" t="s">
        <v>9</v>
      </c>
      <c r="D74" s="13" t="s">
        <v>12</v>
      </c>
      <c r="E74" s="13" t="s">
        <v>109</v>
      </c>
      <c r="F74" s="5" t="str">
        <f t="shared" si="14"/>
        <v>Gujarat Titans</v>
      </c>
      <c r="G74" s="13" t="s">
        <v>48</v>
      </c>
      <c r="H74" s="13" t="s">
        <v>9</v>
      </c>
      <c r="I74" s="13" t="s">
        <v>12</v>
      </c>
      <c r="J74" s="13" t="s">
        <v>253</v>
      </c>
      <c r="K74" s="13">
        <v>20</v>
      </c>
      <c r="L74" s="13" t="s">
        <v>254</v>
      </c>
      <c r="M74" s="13">
        <v>18.2</v>
      </c>
      <c r="N74" s="13" t="s">
        <v>9</v>
      </c>
      <c r="O74" s="19" t="s">
        <v>255</v>
      </c>
      <c r="P74" s="13" t="s">
        <v>256</v>
      </c>
      <c r="Q74">
        <f t="shared" si="15"/>
        <v>0</v>
      </c>
      <c r="R74">
        <f t="shared" si="16"/>
        <v>1</v>
      </c>
      <c r="S74" t="s">
        <v>9</v>
      </c>
      <c r="T74" t="s">
        <v>249</v>
      </c>
      <c r="U74" t="s">
        <v>249</v>
      </c>
      <c r="V74">
        <f t="shared" si="17"/>
        <v>1</v>
      </c>
      <c r="W74">
        <f t="shared" si="18"/>
        <v>0</v>
      </c>
    </row>
    <row r="75" spans="1:23">
      <c r="A75" s="16">
        <v>74</v>
      </c>
      <c r="B75" t="s">
        <v>46</v>
      </c>
      <c r="C75" t="s">
        <v>3</v>
      </c>
      <c r="D75" t="s">
        <v>9</v>
      </c>
      <c r="E75" t="s">
        <v>98</v>
      </c>
      <c r="F75" s="5" t="str">
        <f t="shared" si="14"/>
        <v>Gujarat Titans</v>
      </c>
      <c r="G75" t="s">
        <v>48</v>
      </c>
      <c r="H75" t="s">
        <v>9</v>
      </c>
      <c r="I75" t="s">
        <v>3</v>
      </c>
      <c r="J75" t="s">
        <v>257</v>
      </c>
      <c r="K75">
        <v>20</v>
      </c>
      <c r="L75" t="s">
        <v>258</v>
      </c>
      <c r="M75">
        <v>15</v>
      </c>
      <c r="N75" t="s">
        <v>3</v>
      </c>
      <c r="O75" s="18" t="s">
        <v>259</v>
      </c>
      <c r="P75" s="13" t="s">
        <v>260</v>
      </c>
      <c r="Q75">
        <f t="shared" si="15"/>
        <v>1</v>
      </c>
      <c r="R75">
        <f t="shared" si="16"/>
        <v>0</v>
      </c>
      <c r="S75" t="s">
        <v>9</v>
      </c>
      <c r="T75" t="s">
        <v>249</v>
      </c>
      <c r="U75" t="s">
        <v>249</v>
      </c>
      <c r="V75">
        <f t="shared" si="17"/>
        <v>0</v>
      </c>
      <c r="W75">
        <f t="shared" si="18"/>
        <v>1</v>
      </c>
    </row>
  </sheetData>
  <autoFilter ref="A1:T1048576" xr:uid="{00000000-0009-0000-0000-000002000000}"/>
  <sortState xmlns:xlrd2="http://schemas.microsoft.com/office/spreadsheetml/2017/richdata2" ref="A2:W75">
    <sortCondition ref="A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B10" sqref="B10"/>
    </sheetView>
  </sheetViews>
  <sheetFormatPr defaultColWidth="9" defaultRowHeight="14.4"/>
  <cols>
    <col min="1" max="1" width="24.33203125" customWidth="1"/>
    <col min="2" max="2" width="60.21875" customWidth="1"/>
  </cols>
  <sheetData>
    <row r="1" spans="1:2">
      <c r="A1" t="s">
        <v>19</v>
      </c>
      <c r="B1" t="s">
        <v>261</v>
      </c>
    </row>
    <row r="2" spans="1:2">
      <c r="A2" t="s">
        <v>3</v>
      </c>
      <c r="B2" t="s">
        <v>73</v>
      </c>
    </row>
    <row r="3" spans="1:2">
      <c r="A3" t="s">
        <v>6</v>
      </c>
      <c r="B3" t="s">
        <v>78</v>
      </c>
    </row>
    <row r="4" spans="1:2">
      <c r="A4" t="s">
        <v>9</v>
      </c>
      <c r="B4" t="s">
        <v>262</v>
      </c>
    </row>
    <row r="5" spans="1:2">
      <c r="A5" t="s">
        <v>10</v>
      </c>
      <c r="B5" t="s">
        <v>87</v>
      </c>
    </row>
    <row r="6" spans="1:2">
      <c r="A6" t="s">
        <v>11</v>
      </c>
      <c r="B6" t="s">
        <v>58</v>
      </c>
    </row>
    <row r="7" spans="1:2">
      <c r="A7" t="s">
        <v>12</v>
      </c>
      <c r="B7" t="s">
        <v>97</v>
      </c>
    </row>
    <row r="8" spans="1:2">
      <c r="A8" t="s">
        <v>13</v>
      </c>
      <c r="B8" t="s">
        <v>225</v>
      </c>
    </row>
    <row r="9" spans="1:2">
      <c r="A9" t="s">
        <v>13</v>
      </c>
      <c r="B9" t="s">
        <v>53</v>
      </c>
    </row>
    <row r="10" spans="1:2">
      <c r="A10" t="s">
        <v>14</v>
      </c>
      <c r="B10" t="s">
        <v>82</v>
      </c>
    </row>
    <row r="11" spans="1:2">
      <c r="A11" t="s">
        <v>14</v>
      </c>
      <c r="B11" t="s">
        <v>135</v>
      </c>
    </row>
    <row r="12" spans="1:2">
      <c r="A12" t="s">
        <v>15</v>
      </c>
      <c r="B12" t="s">
        <v>68</v>
      </c>
    </row>
    <row r="13" spans="1:2">
      <c r="A13" t="s">
        <v>16</v>
      </c>
      <c r="B13" t="s">
        <v>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73" zoomScaleNormal="73" workbookViewId="0">
      <selection activeCell="O1" sqref="O1"/>
    </sheetView>
  </sheetViews>
  <sheetFormatPr defaultColWidth="8.88671875" defaultRowHeight="14.4"/>
  <cols>
    <col min="1" max="16384" width="8.88671875" style="1"/>
  </cols>
  <sheetData/>
  <pageMargins left="0.7" right="0.7" top="0.75" bottom="0.75" header="0.3" footer="0.3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2866CF-DB8B-4470-8EB4-A6AEFFCBDD3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Insights</vt:lpstr>
      <vt:lpstr>Pivot</vt:lpstr>
      <vt:lpstr>IPL23dataset</vt:lpstr>
      <vt:lpstr>Home Table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Soumotirtha Das</dc:creator>
  <cp:lastModifiedBy>Soumotirtha Das</cp:lastModifiedBy>
  <dcterms:created xsi:type="dcterms:W3CDTF">2026-03-13T14:26:00Z</dcterms:created>
  <dcterms:modified xsi:type="dcterms:W3CDTF">2026-03-14T07:26:16Z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1E68C2E87048450B92D13EA13A2102DF_13</vt:lpwstr>
  </property>
  <property fmtid="{D5CDD505-2E9C-101B-9397-08002B2CF9AE}" pid="3" name="KSOProductBuildVer">
    <vt:lpwstr>1033-12.2.0.23196</vt:lpwstr>
  </property>
</Properties>
</file>